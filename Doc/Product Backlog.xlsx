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yto\Desktop\IT\Projects\Stage\Stage PFE\Visit_Management\Doc\"/>
    </mc:Choice>
  </mc:AlternateContent>
  <xr:revisionPtr revIDLastSave="0" documentId="13_ncr:1_{86BBEB7D-AECC-4A24-BE57-C584B0391171}" xr6:coauthVersionLast="47" xr6:coauthVersionMax="47" xr10:uidLastSave="{00000000-0000-0000-0000-000000000000}"/>
  <bookViews>
    <workbookView xWindow="-120" yWindow="-120" windowWidth="38640" windowHeight="21120" xr2:uid="{47B1803A-116E-467D-AB76-53B1EF3841AE}"/>
  </bookViews>
  <sheets>
    <sheet name="Sheet1" sheetId="1" r:id="rId1"/>
    <sheet name="Sheet2" sheetId="2" r:id="rId2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H2" i="1"/>
  <c r="H7" i="1"/>
  <c r="H11" i="1"/>
  <c r="H14" i="1"/>
  <c r="H18" i="1"/>
  <c r="H27" i="1"/>
  <c r="H23" i="1"/>
  <c r="K2" i="1"/>
</calcChain>
</file>

<file path=xl/sharedStrings.xml><?xml version="1.0" encoding="utf-8"?>
<sst xmlns="http://schemas.openxmlformats.org/spreadsheetml/2006/main" count="185" uniqueCount="82">
  <si>
    <t>ID</t>
  </si>
  <si>
    <t>US</t>
  </si>
  <si>
    <t>BV</t>
  </si>
  <si>
    <t>Priority</t>
  </si>
  <si>
    <t>Effort</t>
  </si>
  <si>
    <t>As a Supervisor, I want to log visits manually so that I can record visit details when a QR code is unavailable.</t>
  </si>
  <si>
    <t>High</t>
  </si>
  <si>
    <t>As a Supervisor, I want to log visits using a QR code scanner so that I can quickly and accurately record visit details.</t>
  </si>
  <si>
    <t>As a Supervisor, I want to validate checklists for each visit so that all required tasks are completed.</t>
  </si>
  <si>
    <t>As a Supervisor, I want to create new timesheets so that I can manage my weekly schedule.</t>
  </si>
  <si>
    <t>As a Manager, I want to view and validate timesheets so that accuracy is maintained.</t>
  </si>
  <si>
    <t>As a Manager, I want to generate dynamic reports filtered by date range so that specific periods can be analyzed.</t>
  </si>
  <si>
    <t>As a Manager, I want to view KPI dashboards with charts and graphs so that key performance indicators can be visualized.</t>
  </si>
  <si>
    <t>As an AI Model, I want to analyze timesheet and visit data to detect irregularities so that potential issues can be flagged.</t>
  </si>
  <si>
    <t>As a User, I want to securely log in using my credentials so that I can access the platform.</t>
  </si>
  <si>
    <t>Medium</t>
  </si>
  <si>
    <t>As an Admin, I want to create new user accounts so that users can access the platform.</t>
  </si>
  <si>
    <t>As an Admin, I want to assign roles to users so that they have appropriate permissions.</t>
  </si>
  <si>
    <t>As a Supervisor, I want to receive real-time notifications for visits so that I know what to do.</t>
  </si>
  <si>
    <t>As a Supervisor, I want to use a responsive mobile application so that I can access the platform conveniently.</t>
  </si>
  <si>
    <t>As a Supervisor, I want to enter data offline so that I can continue working without internet connectivity.</t>
  </si>
  <si>
    <t>As a Manager, I want to generate dynamic reports filtered by supervisor so that individual performance can be assessed.</t>
  </si>
  <si>
    <t>As a Manager, I want to generate dynamic reports filtered by region so that regional performance can be evaluated.</t>
  </si>
  <si>
    <t>As a Manager, I want to export reports in PDF format so that they can be shared easily.</t>
  </si>
  <si>
    <t>As a Manager, I want to export reports in Excel format so that further analysis can be performed.</t>
  </si>
  <si>
    <t>As a Manager, I want to receive anomaly alerts in dashboards so that issues can be addressed promptly.</t>
  </si>
  <si>
    <t>As a Manager, I want to receive real-time notifications for pending validations so that I can take necessary actions.</t>
  </si>
  <si>
    <t>As a Manager, I want to receive real-time notifications for detected anomalies so that timely interventions can occur.</t>
  </si>
  <si>
    <t>As an AI Model, I want to generate automated reports using predictive analytics so that comprehensive insights can be provided.</t>
  </si>
  <si>
    <t>As an AI Model, I want to send real-time alerts based on findings so that relevant users can act immediately.</t>
  </si>
  <si>
    <t>As a User, I want to edit my own profile information so that my details are accurate.</t>
  </si>
  <si>
    <t>Low</t>
  </si>
  <si>
    <t>As an Admin, I want to modify existing user accounts so that user information remains up-to-date.</t>
  </si>
  <si>
    <t>As an Admin, I want to delete user accounts so that inactive or unnecessary accounts can be removed.</t>
  </si>
  <si>
    <t>As an Admin, I want to revoke roles from users so that permissions can be adjusted as needed.</t>
  </si>
  <si>
    <t>As a Supervisor, I want to upload photos related to the visit so that visual documentation is available.</t>
  </si>
  <si>
    <t>As a Supervisor, I want to add comments to visit logs so that additional context can be provided.</t>
  </si>
  <si>
    <t>As a Supervisor, I want to view past visit logs so that I can review historical data.</t>
  </si>
  <si>
    <t>As a Supervisor, I want to edit past visit logs so that corrections can be made.</t>
  </si>
  <si>
    <t>As a Supervisor, I want to delete visit logs so that incorrect entries can be removed.</t>
  </si>
  <si>
    <t>As a Supervisor, I want to update existing timesheets so that changes can be reflected.</t>
  </si>
  <si>
    <t>As an HR, I want to review timesheets so that employee attendance and performance can be monitored.</t>
  </si>
  <si>
    <t>Description</t>
  </si>
  <si>
    <t>Manual visit logging</t>
  </si>
  <si>
    <t>QR code-based visit logging</t>
  </si>
  <si>
    <t>Checklist validation for visits</t>
  </si>
  <si>
    <t>Create timesheets</t>
  </si>
  <si>
    <t>Validate timesheets</t>
  </si>
  <si>
    <t>Generate date-range filtered reports</t>
  </si>
  <si>
    <t>Visualize KPI dashboards</t>
  </si>
  <si>
    <t>Detect anomalies in data</t>
  </si>
  <si>
    <t>Secure login</t>
  </si>
  <si>
    <t>Create user accounts</t>
  </si>
  <si>
    <t>Assign user roles</t>
  </si>
  <si>
    <t>Real-time visit notifications</t>
  </si>
  <si>
    <t>Mobile app development</t>
  </si>
  <si>
    <t>Offline data entry</t>
  </si>
  <si>
    <t>Generate supervisor-filtered reports</t>
  </si>
  <si>
    <t>Generate region-filtered reports</t>
  </si>
  <si>
    <t>Export reports as PDF</t>
  </si>
  <si>
    <t>Export reports as Excel</t>
  </si>
  <si>
    <t>Anomaly alerts in dashboards</t>
  </si>
  <si>
    <t>Real-time pending validation notifications</t>
  </si>
  <si>
    <t>Real-time anomaly notifications</t>
  </si>
  <si>
    <t>Predictive analytics for reports</t>
  </si>
  <si>
    <t>Real-time AI-based alerts</t>
  </si>
  <si>
    <t>Edit user profile</t>
  </si>
  <si>
    <t>Modify user accounts</t>
  </si>
  <si>
    <t>Delete user accounts</t>
  </si>
  <si>
    <t>Revoke user roles</t>
  </si>
  <si>
    <t>Upload visit photos</t>
  </si>
  <si>
    <t>Add comments to visit logs</t>
  </si>
  <si>
    <t>View past visit logs</t>
  </si>
  <si>
    <t>Edit past visit logs</t>
  </si>
  <si>
    <t>Delete visit logs</t>
  </si>
  <si>
    <t>Update timesheets</t>
  </si>
  <si>
    <t>Review timesheets</t>
  </si>
  <si>
    <t>Velocity</t>
  </si>
  <si>
    <t>Sprints</t>
  </si>
  <si>
    <t>Sprint Weeks</t>
  </si>
  <si>
    <t>Project Weeks</t>
  </si>
  <si>
    <t>Sprint Efforts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</si>
</sst>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.6"/>
      <color theme="1"/>
      <name val="Arial"/>
      <family val="2"/>
    </font>
    <font>
      <sz val="9.6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0" fillId="2" borderId="2" xfId="0" applyFill="1" applyBorder="1" applyAlignment="1">
      <alignment horizontal="center"/>
    </xf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A7AD7-D84A-41D1-98CD-9787A022D90A}">
  <dimension ref="A1:M35"/>
  <sheetViews>
    <sheetView tabSelected="1" zoomScale="130" zoomScaleNormal="130" workbookViewId="0">
      <selection activeCell="F11" sqref="F11:F14"/>
    </sheetView>
  </sheetViews>
  <sheetFormatPr defaultRowHeight="15" x14ac:dyDescent="0.25"/>
  <cols>
    <col min="2" max="2" width="108.85546875" customWidth="1"/>
    <col min="3" max="3" width="39.140625" customWidth="1"/>
    <col min="6" max="6" width="7.5703125" style="3" customWidth="1"/>
    <col min="7" max="7" width="3.140625" style="3" customWidth="1"/>
    <col min="8" max="8" width="3.28515625" bestFit="1" customWidth="1"/>
    <col min="10" max="10" width="15.140625" customWidth="1"/>
  </cols>
  <sheetData>
    <row r="1" spans="1:13" ht="15.75" thickBot="1" x14ac:dyDescent="0.3">
      <c r="A1" s="9" t="s">
        <v>0</v>
      </c>
      <c r="B1" s="10" t="s">
        <v>1</v>
      </c>
      <c r="C1" s="10" t="s">
        <v>42</v>
      </c>
      <c r="D1" s="9" t="s">
        <v>2</v>
      </c>
      <c r="E1" s="9" t="s">
        <v>3</v>
      </c>
      <c r="F1" s="12" t="s">
        <v>4</v>
      </c>
    </row>
    <row r="2" spans="1:13" ht="15.75" thickBot="1" x14ac:dyDescent="0.3">
      <c r="A2" s="6">
        <v>8</v>
      </c>
      <c r="B2" s="7" t="s">
        <v>5</v>
      </c>
      <c r="C2" s="8" t="s">
        <v>43</v>
      </c>
      <c r="D2" s="6" t="s">
        <v>6</v>
      </c>
      <c r="E2" s="6">
        <v>1</v>
      </c>
      <c r="F2" s="13">
        <v>5</v>
      </c>
      <c r="G2" s="17">
        <v>1</v>
      </c>
      <c r="H2" s="16">
        <f>SUM(F2:F6)</f>
        <v>24</v>
      </c>
      <c r="J2" s="11" t="s">
        <v>77</v>
      </c>
      <c r="K2" s="4">
        <f>SUM(F2:F35)</f>
        <v>170</v>
      </c>
      <c r="M2" s="9" t="s">
        <v>2</v>
      </c>
    </row>
    <row r="3" spans="1:13" ht="15.75" thickBot="1" x14ac:dyDescent="0.3">
      <c r="A3" s="6">
        <v>10</v>
      </c>
      <c r="B3" s="7" t="s">
        <v>8</v>
      </c>
      <c r="C3" s="8" t="s">
        <v>45</v>
      </c>
      <c r="D3" s="6" t="s">
        <v>6</v>
      </c>
      <c r="E3" s="6">
        <v>2</v>
      </c>
      <c r="F3" s="13">
        <v>3</v>
      </c>
      <c r="G3" s="17"/>
      <c r="H3" s="16"/>
      <c r="J3" s="20" t="s">
        <v>80</v>
      </c>
      <c r="K3" s="18">
        <v>14</v>
      </c>
      <c r="L3" s="3"/>
      <c r="M3" s="1" t="s">
        <v>6</v>
      </c>
    </row>
    <row r="4" spans="1:13" ht="15.75" thickBot="1" x14ac:dyDescent="0.3">
      <c r="A4" s="6">
        <v>16</v>
      </c>
      <c r="B4" s="7" t="s">
        <v>9</v>
      </c>
      <c r="C4" s="8" t="s">
        <v>46</v>
      </c>
      <c r="D4" s="6" t="s">
        <v>6</v>
      </c>
      <c r="E4" s="6">
        <v>3</v>
      </c>
      <c r="F4" s="13">
        <v>5</v>
      </c>
      <c r="G4" s="17"/>
      <c r="H4" s="16"/>
      <c r="J4" s="19" t="s">
        <v>79</v>
      </c>
      <c r="K4" s="4">
        <v>2</v>
      </c>
      <c r="M4" s="1" t="s">
        <v>15</v>
      </c>
    </row>
    <row r="5" spans="1:13" ht="15.75" thickBot="1" x14ac:dyDescent="0.3">
      <c r="A5" s="6">
        <v>21</v>
      </c>
      <c r="B5" s="7" t="s">
        <v>10</v>
      </c>
      <c r="C5" s="8" t="s">
        <v>47</v>
      </c>
      <c r="D5" s="6" t="s">
        <v>6</v>
      </c>
      <c r="E5" s="6">
        <v>4</v>
      </c>
      <c r="F5" s="13">
        <v>3</v>
      </c>
      <c r="G5" s="17"/>
      <c r="H5" s="16"/>
      <c r="J5" s="22" t="s">
        <v>78</v>
      </c>
      <c r="K5" s="21">
        <f>K3/K4</f>
        <v>7</v>
      </c>
      <c r="M5" s="1" t="s">
        <v>31</v>
      </c>
    </row>
    <row r="6" spans="1:13" ht="15.75" thickBot="1" x14ac:dyDescent="0.3">
      <c r="A6" s="6">
        <v>22</v>
      </c>
      <c r="B6" s="7" t="s">
        <v>11</v>
      </c>
      <c r="C6" s="8" t="s">
        <v>48</v>
      </c>
      <c r="D6" s="6" t="s">
        <v>6</v>
      </c>
      <c r="E6" s="6">
        <v>5</v>
      </c>
      <c r="F6" s="14">
        <v>8</v>
      </c>
      <c r="G6" s="17"/>
      <c r="H6" s="16"/>
      <c r="J6" s="19" t="s">
        <v>81</v>
      </c>
      <c r="K6" s="5">
        <f>K2/K5</f>
        <v>24.285714285714285</v>
      </c>
    </row>
    <row r="7" spans="1:13" x14ac:dyDescent="0.25">
      <c r="A7" s="6">
        <v>32</v>
      </c>
      <c r="B7" s="7" t="s">
        <v>13</v>
      </c>
      <c r="C7" s="8" t="s">
        <v>50</v>
      </c>
      <c r="D7" s="6" t="s">
        <v>6</v>
      </c>
      <c r="E7" s="6">
        <v>6</v>
      </c>
      <c r="F7" s="15">
        <v>13</v>
      </c>
      <c r="G7" s="17">
        <v>2</v>
      </c>
      <c r="H7" s="16">
        <f>SUM(F7:F10)</f>
        <v>26</v>
      </c>
    </row>
    <row r="8" spans="1:13" x14ac:dyDescent="0.25">
      <c r="A8" s="6">
        <v>3</v>
      </c>
      <c r="B8" s="7" t="s">
        <v>16</v>
      </c>
      <c r="C8" s="8" t="s">
        <v>52</v>
      </c>
      <c r="D8" s="6" t="s">
        <v>6</v>
      </c>
      <c r="E8" s="6">
        <v>7</v>
      </c>
      <c r="F8" s="13">
        <v>5</v>
      </c>
      <c r="G8" s="17"/>
      <c r="H8" s="16"/>
    </row>
    <row r="9" spans="1:13" x14ac:dyDescent="0.25">
      <c r="A9" s="6">
        <v>1</v>
      </c>
      <c r="B9" s="7" t="s">
        <v>14</v>
      </c>
      <c r="C9" s="8" t="s">
        <v>51</v>
      </c>
      <c r="D9" s="6" t="s">
        <v>6</v>
      </c>
      <c r="E9" s="6">
        <v>8</v>
      </c>
      <c r="F9" s="13">
        <v>5</v>
      </c>
      <c r="G9" s="17"/>
      <c r="H9" s="16"/>
    </row>
    <row r="10" spans="1:13" x14ac:dyDescent="0.25">
      <c r="A10" s="6">
        <v>6</v>
      </c>
      <c r="B10" s="7" t="s">
        <v>17</v>
      </c>
      <c r="C10" s="8" t="s">
        <v>53</v>
      </c>
      <c r="D10" s="6" t="s">
        <v>15</v>
      </c>
      <c r="E10" s="6">
        <v>9</v>
      </c>
      <c r="F10" s="14">
        <v>3</v>
      </c>
      <c r="G10" s="17"/>
      <c r="H10" s="16"/>
    </row>
    <row r="11" spans="1:13" x14ac:dyDescent="0.25">
      <c r="A11" s="6">
        <v>18</v>
      </c>
      <c r="B11" s="7" t="s">
        <v>18</v>
      </c>
      <c r="C11" s="8" t="s">
        <v>54</v>
      </c>
      <c r="D11" s="6" t="s">
        <v>15</v>
      </c>
      <c r="E11" s="6">
        <v>10</v>
      </c>
      <c r="F11" s="15">
        <v>5</v>
      </c>
      <c r="G11" s="17">
        <v>3</v>
      </c>
      <c r="H11" s="16">
        <f>SUM(F11:F13)</f>
        <v>21</v>
      </c>
    </row>
    <row r="12" spans="1:13" x14ac:dyDescent="0.25">
      <c r="A12" s="6">
        <v>19</v>
      </c>
      <c r="B12" s="7" t="s">
        <v>19</v>
      </c>
      <c r="C12" s="8" t="s">
        <v>55</v>
      </c>
      <c r="D12" s="6" t="s">
        <v>15</v>
      </c>
      <c r="E12" s="6">
        <v>11</v>
      </c>
      <c r="F12" s="13">
        <v>13</v>
      </c>
      <c r="G12" s="17"/>
      <c r="H12" s="16"/>
    </row>
    <row r="13" spans="1:13" x14ac:dyDescent="0.25">
      <c r="A13" s="6">
        <v>9</v>
      </c>
      <c r="B13" s="7" t="s">
        <v>7</v>
      </c>
      <c r="C13" s="8" t="s">
        <v>44</v>
      </c>
      <c r="D13" s="6" t="s">
        <v>15</v>
      </c>
      <c r="E13" s="6">
        <v>12</v>
      </c>
      <c r="F13" s="14">
        <v>3</v>
      </c>
      <c r="G13" s="17"/>
      <c r="H13" s="16"/>
    </row>
    <row r="14" spans="1:13" x14ac:dyDescent="0.25">
      <c r="A14" s="6">
        <v>20</v>
      </c>
      <c r="B14" s="7" t="s">
        <v>20</v>
      </c>
      <c r="C14" s="8" t="s">
        <v>56</v>
      </c>
      <c r="D14" s="6" t="s">
        <v>15</v>
      </c>
      <c r="E14" s="6">
        <v>13</v>
      </c>
      <c r="F14" s="15">
        <v>8</v>
      </c>
      <c r="G14" s="17">
        <v>4</v>
      </c>
      <c r="H14" s="16">
        <f>SUM(F14:F17)</f>
        <v>26</v>
      </c>
    </row>
    <row r="15" spans="1:13" x14ac:dyDescent="0.25">
      <c r="A15" s="6">
        <v>27</v>
      </c>
      <c r="B15" s="7" t="s">
        <v>12</v>
      </c>
      <c r="C15" s="8" t="s">
        <v>49</v>
      </c>
      <c r="D15" s="6" t="s">
        <v>15</v>
      </c>
      <c r="E15" s="6">
        <v>14</v>
      </c>
      <c r="F15" s="13">
        <v>8</v>
      </c>
      <c r="G15" s="17"/>
      <c r="H15" s="16"/>
    </row>
    <row r="16" spans="1:13" x14ac:dyDescent="0.25">
      <c r="A16" s="6">
        <v>23</v>
      </c>
      <c r="B16" s="7" t="s">
        <v>21</v>
      </c>
      <c r="C16" s="8" t="s">
        <v>57</v>
      </c>
      <c r="D16" s="6" t="s">
        <v>15</v>
      </c>
      <c r="E16" s="6">
        <v>15</v>
      </c>
      <c r="F16" s="13">
        <v>5</v>
      </c>
      <c r="G16" s="17"/>
      <c r="H16" s="16"/>
    </row>
    <row r="17" spans="1:8" x14ac:dyDescent="0.25">
      <c r="A17" s="6">
        <v>24</v>
      </c>
      <c r="B17" s="7" t="s">
        <v>22</v>
      </c>
      <c r="C17" s="8" t="s">
        <v>58</v>
      </c>
      <c r="D17" s="6" t="s">
        <v>15</v>
      </c>
      <c r="E17" s="6">
        <v>16</v>
      </c>
      <c r="F17" s="14">
        <v>5</v>
      </c>
      <c r="G17" s="17"/>
      <c r="H17" s="16"/>
    </row>
    <row r="18" spans="1:8" x14ac:dyDescent="0.25">
      <c r="A18" s="6">
        <v>25</v>
      </c>
      <c r="B18" s="7" t="s">
        <v>23</v>
      </c>
      <c r="C18" s="8" t="s">
        <v>59</v>
      </c>
      <c r="D18" s="6" t="s">
        <v>15</v>
      </c>
      <c r="E18" s="6">
        <v>17</v>
      </c>
      <c r="F18" s="15">
        <v>3</v>
      </c>
      <c r="G18" s="17">
        <v>5</v>
      </c>
      <c r="H18" s="16">
        <f>SUM(F18:F22)</f>
        <v>24</v>
      </c>
    </row>
    <row r="19" spans="1:8" x14ac:dyDescent="0.25">
      <c r="A19" s="6">
        <v>26</v>
      </c>
      <c r="B19" s="7" t="s">
        <v>24</v>
      </c>
      <c r="C19" s="8" t="s">
        <v>60</v>
      </c>
      <c r="D19" s="6" t="s">
        <v>15</v>
      </c>
      <c r="E19" s="6">
        <v>18</v>
      </c>
      <c r="F19" s="13">
        <v>3</v>
      </c>
      <c r="G19" s="17"/>
      <c r="H19" s="16"/>
    </row>
    <row r="20" spans="1:8" x14ac:dyDescent="0.25">
      <c r="A20" s="6">
        <v>28</v>
      </c>
      <c r="B20" s="7" t="s">
        <v>25</v>
      </c>
      <c r="C20" s="8" t="s">
        <v>61</v>
      </c>
      <c r="D20" s="6" t="s">
        <v>15</v>
      </c>
      <c r="E20" s="6">
        <v>19</v>
      </c>
      <c r="F20" s="13">
        <v>8</v>
      </c>
      <c r="G20" s="17"/>
      <c r="H20" s="16"/>
    </row>
    <row r="21" spans="1:8" x14ac:dyDescent="0.25">
      <c r="A21" s="6">
        <v>29</v>
      </c>
      <c r="B21" s="7" t="s">
        <v>26</v>
      </c>
      <c r="C21" s="8" t="s">
        <v>62</v>
      </c>
      <c r="D21" s="6" t="s">
        <v>15</v>
      </c>
      <c r="E21" s="6">
        <v>20</v>
      </c>
      <c r="F21" s="13">
        <v>5</v>
      </c>
      <c r="G21" s="17"/>
      <c r="H21" s="16"/>
    </row>
    <row r="22" spans="1:8" x14ac:dyDescent="0.25">
      <c r="A22" s="6">
        <v>30</v>
      </c>
      <c r="B22" s="7" t="s">
        <v>27</v>
      </c>
      <c r="C22" s="8" t="s">
        <v>63</v>
      </c>
      <c r="D22" s="6" t="s">
        <v>15</v>
      </c>
      <c r="E22" s="6">
        <v>21</v>
      </c>
      <c r="F22" s="14">
        <v>5</v>
      </c>
      <c r="G22" s="17"/>
      <c r="H22" s="16"/>
    </row>
    <row r="23" spans="1:8" ht="15" customHeight="1" x14ac:dyDescent="0.25">
      <c r="A23" s="6">
        <v>33</v>
      </c>
      <c r="B23" s="7" t="s">
        <v>28</v>
      </c>
      <c r="C23" s="8" t="s">
        <v>64</v>
      </c>
      <c r="D23" s="6" t="s">
        <v>15</v>
      </c>
      <c r="E23" s="6">
        <v>22</v>
      </c>
      <c r="F23" s="15">
        <v>11</v>
      </c>
      <c r="G23" s="17">
        <v>6</v>
      </c>
      <c r="H23" s="16">
        <f>SUM(F23:F26)</f>
        <v>25</v>
      </c>
    </row>
    <row r="24" spans="1:8" x14ac:dyDescent="0.25">
      <c r="A24" s="6">
        <v>34</v>
      </c>
      <c r="B24" s="7" t="s">
        <v>29</v>
      </c>
      <c r="C24" s="8" t="s">
        <v>65</v>
      </c>
      <c r="D24" s="6" t="s">
        <v>15</v>
      </c>
      <c r="E24" s="6">
        <v>23</v>
      </c>
      <c r="F24" s="13">
        <v>8</v>
      </c>
      <c r="G24" s="17"/>
      <c r="H24" s="16"/>
    </row>
    <row r="25" spans="1:8" x14ac:dyDescent="0.25">
      <c r="A25" s="6">
        <v>4</v>
      </c>
      <c r="B25" s="7" t="s">
        <v>32</v>
      </c>
      <c r="C25" s="8" t="s">
        <v>67</v>
      </c>
      <c r="D25" s="6" t="s">
        <v>31</v>
      </c>
      <c r="E25" s="6">
        <v>24</v>
      </c>
      <c r="F25" s="13">
        <v>3</v>
      </c>
      <c r="G25" s="17"/>
      <c r="H25" s="16"/>
    </row>
    <row r="26" spans="1:8" x14ac:dyDescent="0.25">
      <c r="A26" s="6">
        <v>2</v>
      </c>
      <c r="B26" s="7" t="s">
        <v>30</v>
      </c>
      <c r="C26" s="8" t="s">
        <v>66</v>
      </c>
      <c r="D26" s="6" t="s">
        <v>31</v>
      </c>
      <c r="E26" s="6">
        <v>25</v>
      </c>
      <c r="F26" s="14">
        <v>3</v>
      </c>
      <c r="G26" s="17"/>
      <c r="H26" s="16"/>
    </row>
    <row r="27" spans="1:8" x14ac:dyDescent="0.25">
      <c r="A27" s="6">
        <v>5</v>
      </c>
      <c r="B27" s="7" t="s">
        <v>33</v>
      </c>
      <c r="C27" s="8" t="s">
        <v>68</v>
      </c>
      <c r="D27" s="6" t="s">
        <v>31</v>
      </c>
      <c r="E27" s="6">
        <v>26</v>
      </c>
      <c r="F27" s="15">
        <v>2</v>
      </c>
      <c r="G27" s="17">
        <v>7</v>
      </c>
      <c r="H27" s="16">
        <f>SUM(F27:F35)</f>
        <v>24</v>
      </c>
    </row>
    <row r="28" spans="1:8" x14ac:dyDescent="0.25">
      <c r="A28" s="6">
        <v>7</v>
      </c>
      <c r="B28" s="7" t="s">
        <v>34</v>
      </c>
      <c r="C28" s="8" t="s">
        <v>69</v>
      </c>
      <c r="D28" s="6" t="s">
        <v>31</v>
      </c>
      <c r="E28" s="6">
        <v>27</v>
      </c>
      <c r="F28" s="13">
        <v>3</v>
      </c>
      <c r="G28" s="17"/>
      <c r="H28" s="16"/>
    </row>
    <row r="29" spans="1:8" x14ac:dyDescent="0.25">
      <c r="A29" s="6">
        <v>11</v>
      </c>
      <c r="B29" s="7" t="s">
        <v>35</v>
      </c>
      <c r="C29" s="8" t="s">
        <v>70</v>
      </c>
      <c r="D29" s="6" t="s">
        <v>31</v>
      </c>
      <c r="E29" s="6">
        <v>28</v>
      </c>
      <c r="F29" s="13">
        <v>3</v>
      </c>
      <c r="G29" s="17"/>
      <c r="H29" s="16"/>
    </row>
    <row r="30" spans="1:8" x14ac:dyDescent="0.25">
      <c r="A30" s="6">
        <v>12</v>
      </c>
      <c r="B30" s="7" t="s">
        <v>36</v>
      </c>
      <c r="C30" s="8" t="s">
        <v>71</v>
      </c>
      <c r="D30" s="6" t="s">
        <v>31</v>
      </c>
      <c r="E30" s="6">
        <v>29</v>
      </c>
      <c r="F30" s="13">
        <v>1</v>
      </c>
      <c r="G30" s="17"/>
      <c r="H30" s="16"/>
    </row>
    <row r="31" spans="1:8" x14ac:dyDescent="0.25">
      <c r="A31" s="6">
        <v>13</v>
      </c>
      <c r="B31" s="7" t="s">
        <v>37</v>
      </c>
      <c r="C31" s="8" t="s">
        <v>72</v>
      </c>
      <c r="D31" s="6" t="s">
        <v>31</v>
      </c>
      <c r="E31" s="6">
        <v>30</v>
      </c>
      <c r="F31" s="13">
        <v>3</v>
      </c>
      <c r="G31" s="17"/>
      <c r="H31" s="16"/>
    </row>
    <row r="32" spans="1:8" x14ac:dyDescent="0.25">
      <c r="A32" s="6">
        <v>14</v>
      </c>
      <c r="B32" s="7" t="s">
        <v>38</v>
      </c>
      <c r="C32" s="8" t="s">
        <v>73</v>
      </c>
      <c r="D32" s="6" t="s">
        <v>31</v>
      </c>
      <c r="E32" s="6">
        <v>31</v>
      </c>
      <c r="F32" s="13">
        <v>3</v>
      </c>
      <c r="G32" s="17"/>
      <c r="H32" s="16"/>
    </row>
    <row r="33" spans="1:8" x14ac:dyDescent="0.25">
      <c r="A33" s="6">
        <v>15</v>
      </c>
      <c r="B33" s="7" t="s">
        <v>39</v>
      </c>
      <c r="C33" s="8" t="s">
        <v>74</v>
      </c>
      <c r="D33" s="6" t="s">
        <v>31</v>
      </c>
      <c r="E33" s="6">
        <v>32</v>
      </c>
      <c r="F33" s="13">
        <v>3</v>
      </c>
      <c r="G33" s="17"/>
      <c r="H33" s="16"/>
    </row>
    <row r="34" spans="1:8" x14ac:dyDescent="0.25">
      <c r="A34" s="6">
        <v>17</v>
      </c>
      <c r="B34" s="7" t="s">
        <v>40</v>
      </c>
      <c r="C34" s="8" t="s">
        <v>75</v>
      </c>
      <c r="D34" s="6" t="s">
        <v>31</v>
      </c>
      <c r="E34" s="6">
        <v>33</v>
      </c>
      <c r="F34" s="13">
        <v>3</v>
      </c>
      <c r="G34" s="17"/>
      <c r="H34" s="16"/>
    </row>
    <row r="35" spans="1:8" x14ac:dyDescent="0.25">
      <c r="A35" s="6">
        <v>31</v>
      </c>
      <c r="B35" s="7" t="s">
        <v>41</v>
      </c>
      <c r="C35" s="8" t="s">
        <v>76</v>
      </c>
      <c r="D35" s="6" t="s">
        <v>31</v>
      </c>
      <c r="E35" s="6">
        <v>34</v>
      </c>
      <c r="F35" s="14">
        <v>3</v>
      </c>
      <c r="G35" s="17"/>
      <c r="H35" s="16"/>
    </row>
  </sheetData>
  <autoFilter ref="A1:F1" xr:uid="{EACA7AD7-D84A-41D1-98CD-9787A022D90A}">
    <sortState xmlns:xlrd2="http://schemas.microsoft.com/office/spreadsheetml/2017/richdata2" ref="A2:F37">
      <sortCondition ref="E1"/>
    </sortState>
  </autoFilter>
  <mergeCells count="14">
    <mergeCell ref="G27:G35"/>
    <mergeCell ref="H2:H6"/>
    <mergeCell ref="H7:H10"/>
    <mergeCell ref="H11:H13"/>
    <mergeCell ref="H14:H17"/>
    <mergeCell ref="H18:H22"/>
    <mergeCell ref="H23:H26"/>
    <mergeCell ref="H27:H35"/>
    <mergeCell ref="G2:G6"/>
    <mergeCell ref="G7:G10"/>
    <mergeCell ref="G11:G13"/>
    <mergeCell ref="G14:G17"/>
    <mergeCell ref="G18:G22"/>
    <mergeCell ref="G23:G26"/>
  </mergeCells>
  <dataValidations count="1">
    <dataValidation type="list" allowBlank="1" showInputMessage="1" showErrorMessage="1" sqref="D2:D35" xr:uid="{8A05F769-0BEF-4B74-B0A4-367A04899768}">
      <formula1>$M$3:$M$5</formula1>
    </dataValidation>
  </dataValidations>
  <pageMargins left="0.7" right="0.7" top="0.75" bottom="0.75" header="0.3" footer="0.3"/>
  <ignoredErrors>
    <ignoredError sqref="H2:H3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7ADB-C6C5-4254-AAD7-3296496ECAD6}">
  <dimension ref="A1:D34"/>
  <sheetViews>
    <sheetView workbookViewId="0">
      <selection activeCell="D1" sqref="D1:D34"/>
    </sheetView>
  </sheetViews>
  <sheetFormatPr defaultRowHeight="15" x14ac:dyDescent="0.25"/>
  <cols>
    <col min="2" max="2" width="123.42578125" customWidth="1"/>
    <col min="5" max="5" width="41.140625" customWidth="1"/>
  </cols>
  <sheetData>
    <row r="1" spans="1:4" x14ac:dyDescent="0.25">
      <c r="A1" s="2">
        <v>8</v>
      </c>
      <c r="B1" s="2" t="s">
        <v>5</v>
      </c>
      <c r="C1" s="2" t="s">
        <v>6</v>
      </c>
      <c r="D1" s="2">
        <v>3</v>
      </c>
    </row>
    <row r="2" spans="1:4" x14ac:dyDescent="0.25">
      <c r="A2" s="2">
        <v>9</v>
      </c>
      <c r="B2" s="2" t="s">
        <v>7</v>
      </c>
      <c r="C2" s="2" t="s">
        <v>6</v>
      </c>
      <c r="D2" s="2">
        <v>5</v>
      </c>
    </row>
    <row r="3" spans="1:4" x14ac:dyDescent="0.25">
      <c r="A3" s="2">
        <v>10</v>
      </c>
      <c r="B3" s="2" t="s">
        <v>8</v>
      </c>
      <c r="C3" s="2" t="s">
        <v>6</v>
      </c>
      <c r="D3" s="2">
        <v>3</v>
      </c>
    </row>
    <row r="4" spans="1:4" x14ac:dyDescent="0.25">
      <c r="A4" s="2">
        <v>16</v>
      </c>
      <c r="B4" s="2" t="s">
        <v>9</v>
      </c>
      <c r="C4" s="2" t="s">
        <v>6</v>
      </c>
      <c r="D4" s="2">
        <v>5</v>
      </c>
    </row>
    <row r="5" spans="1:4" x14ac:dyDescent="0.25">
      <c r="A5" s="2">
        <v>21</v>
      </c>
      <c r="B5" s="2" t="s">
        <v>10</v>
      </c>
      <c r="C5" s="2" t="s">
        <v>6</v>
      </c>
      <c r="D5" s="2">
        <v>3</v>
      </c>
    </row>
    <row r="6" spans="1:4" x14ac:dyDescent="0.25">
      <c r="A6" s="2">
        <v>22</v>
      </c>
      <c r="B6" s="2" t="s">
        <v>11</v>
      </c>
      <c r="C6" s="2" t="s">
        <v>6</v>
      </c>
      <c r="D6" s="2">
        <v>8</v>
      </c>
    </row>
    <row r="7" spans="1:4" x14ac:dyDescent="0.25">
      <c r="A7" s="2">
        <v>27</v>
      </c>
      <c r="B7" s="2" t="s">
        <v>12</v>
      </c>
      <c r="C7" s="2" t="s">
        <v>6</v>
      </c>
      <c r="D7" s="2">
        <v>8</v>
      </c>
    </row>
    <row r="8" spans="1:4" x14ac:dyDescent="0.25">
      <c r="A8" s="2">
        <v>32</v>
      </c>
      <c r="B8" s="2" t="s">
        <v>13</v>
      </c>
      <c r="C8" s="2" t="s">
        <v>6</v>
      </c>
      <c r="D8" s="2">
        <v>13</v>
      </c>
    </row>
    <row r="9" spans="1:4" x14ac:dyDescent="0.25">
      <c r="A9" s="2">
        <v>1</v>
      </c>
      <c r="B9" s="2" t="s">
        <v>14</v>
      </c>
      <c r="C9" s="2" t="s">
        <v>15</v>
      </c>
      <c r="D9" s="2">
        <v>5</v>
      </c>
    </row>
    <row r="10" spans="1:4" x14ac:dyDescent="0.25">
      <c r="A10" s="2">
        <v>3</v>
      </c>
      <c r="B10" s="2" t="s">
        <v>16</v>
      </c>
      <c r="C10" s="2" t="s">
        <v>15</v>
      </c>
      <c r="D10" s="2">
        <v>3</v>
      </c>
    </row>
    <row r="11" spans="1:4" x14ac:dyDescent="0.25">
      <c r="A11" s="2">
        <v>6</v>
      </c>
      <c r="B11" s="2" t="s">
        <v>17</v>
      </c>
      <c r="C11" s="2" t="s">
        <v>15</v>
      </c>
      <c r="D11" s="2">
        <v>3</v>
      </c>
    </row>
    <row r="12" spans="1:4" x14ac:dyDescent="0.25">
      <c r="A12" s="2">
        <v>18</v>
      </c>
      <c r="B12" s="2" t="s">
        <v>18</v>
      </c>
      <c r="C12" s="2" t="s">
        <v>15</v>
      </c>
      <c r="D12" s="2">
        <v>5</v>
      </c>
    </row>
    <row r="13" spans="1:4" x14ac:dyDescent="0.25">
      <c r="A13" s="2">
        <v>19</v>
      </c>
      <c r="B13" s="2" t="s">
        <v>19</v>
      </c>
      <c r="C13" s="2" t="s">
        <v>15</v>
      </c>
      <c r="D13" s="2">
        <v>8</v>
      </c>
    </row>
    <row r="14" spans="1:4" x14ac:dyDescent="0.25">
      <c r="A14" s="2">
        <v>20</v>
      </c>
      <c r="B14" s="2" t="s">
        <v>20</v>
      </c>
      <c r="C14" s="2" t="s">
        <v>15</v>
      </c>
      <c r="D14" s="2">
        <v>8</v>
      </c>
    </row>
    <row r="15" spans="1:4" x14ac:dyDescent="0.25">
      <c r="A15" s="2">
        <v>23</v>
      </c>
      <c r="B15" s="2" t="s">
        <v>21</v>
      </c>
      <c r="C15" s="2" t="s">
        <v>15</v>
      </c>
      <c r="D15" s="2">
        <v>5</v>
      </c>
    </row>
    <row r="16" spans="1:4" x14ac:dyDescent="0.25">
      <c r="A16" s="2">
        <v>24</v>
      </c>
      <c r="B16" s="2" t="s">
        <v>22</v>
      </c>
      <c r="C16" s="2" t="s">
        <v>15</v>
      </c>
      <c r="D16" s="2">
        <v>5</v>
      </c>
    </row>
    <row r="17" spans="1:4" x14ac:dyDescent="0.25">
      <c r="A17" s="2">
        <v>25</v>
      </c>
      <c r="B17" s="2" t="s">
        <v>23</v>
      </c>
      <c r="C17" s="2" t="s">
        <v>15</v>
      </c>
      <c r="D17" s="2">
        <v>3</v>
      </c>
    </row>
    <row r="18" spans="1:4" x14ac:dyDescent="0.25">
      <c r="A18" s="2">
        <v>26</v>
      </c>
      <c r="B18" s="2" t="s">
        <v>24</v>
      </c>
      <c r="C18" s="2" t="s">
        <v>15</v>
      </c>
      <c r="D18" s="2">
        <v>3</v>
      </c>
    </row>
    <row r="19" spans="1:4" x14ac:dyDescent="0.25">
      <c r="A19" s="2">
        <v>28</v>
      </c>
      <c r="B19" s="2" t="s">
        <v>25</v>
      </c>
      <c r="C19" s="2" t="s">
        <v>15</v>
      </c>
      <c r="D19" s="2">
        <v>5</v>
      </c>
    </row>
    <row r="20" spans="1:4" x14ac:dyDescent="0.25">
      <c r="A20" s="2">
        <v>29</v>
      </c>
      <c r="B20" s="2" t="s">
        <v>26</v>
      </c>
      <c r="C20" s="2" t="s">
        <v>15</v>
      </c>
      <c r="D20" s="2">
        <v>5</v>
      </c>
    </row>
    <row r="21" spans="1:4" x14ac:dyDescent="0.25">
      <c r="A21" s="2">
        <v>30</v>
      </c>
      <c r="B21" s="2" t="s">
        <v>27</v>
      </c>
      <c r="C21" s="2" t="s">
        <v>15</v>
      </c>
      <c r="D21" s="2">
        <v>5</v>
      </c>
    </row>
    <row r="22" spans="1:4" x14ac:dyDescent="0.25">
      <c r="A22" s="2">
        <v>33</v>
      </c>
      <c r="B22" s="2" t="s">
        <v>28</v>
      </c>
      <c r="C22" s="2" t="s">
        <v>15</v>
      </c>
      <c r="D22" s="2">
        <v>11</v>
      </c>
    </row>
    <row r="23" spans="1:4" x14ac:dyDescent="0.25">
      <c r="A23" s="2">
        <v>34</v>
      </c>
      <c r="B23" s="2" t="s">
        <v>29</v>
      </c>
      <c r="C23" s="2" t="s">
        <v>15</v>
      </c>
      <c r="D23" s="2">
        <v>5</v>
      </c>
    </row>
    <row r="24" spans="1:4" x14ac:dyDescent="0.25">
      <c r="A24" s="2">
        <v>2</v>
      </c>
      <c r="B24" s="2" t="s">
        <v>30</v>
      </c>
      <c r="C24" s="2" t="s">
        <v>31</v>
      </c>
      <c r="D24" s="2">
        <v>3</v>
      </c>
    </row>
    <row r="25" spans="1:4" x14ac:dyDescent="0.25">
      <c r="A25" s="2">
        <v>4</v>
      </c>
      <c r="B25" s="2" t="s">
        <v>32</v>
      </c>
      <c r="C25" s="2" t="s">
        <v>31</v>
      </c>
      <c r="D25" s="2">
        <v>3</v>
      </c>
    </row>
    <row r="26" spans="1:4" x14ac:dyDescent="0.25">
      <c r="A26" s="2">
        <v>5</v>
      </c>
      <c r="B26" s="2" t="s">
        <v>33</v>
      </c>
      <c r="C26" s="2" t="s">
        <v>31</v>
      </c>
      <c r="D26" s="2">
        <v>3</v>
      </c>
    </row>
    <row r="27" spans="1:4" x14ac:dyDescent="0.25">
      <c r="A27" s="2">
        <v>7</v>
      </c>
      <c r="B27" s="2" t="s">
        <v>34</v>
      </c>
      <c r="C27" s="2" t="s">
        <v>31</v>
      </c>
      <c r="D27" s="2">
        <v>3</v>
      </c>
    </row>
    <row r="28" spans="1:4" x14ac:dyDescent="0.25">
      <c r="A28" s="2">
        <v>11</v>
      </c>
      <c r="B28" s="2" t="s">
        <v>35</v>
      </c>
      <c r="C28" s="2" t="s">
        <v>31</v>
      </c>
      <c r="D28" s="2">
        <v>3</v>
      </c>
    </row>
    <row r="29" spans="1:4" x14ac:dyDescent="0.25">
      <c r="A29" s="2">
        <v>12</v>
      </c>
      <c r="B29" s="2" t="s">
        <v>36</v>
      </c>
      <c r="C29" s="2" t="s">
        <v>31</v>
      </c>
      <c r="D29" s="2">
        <v>3</v>
      </c>
    </row>
    <row r="30" spans="1:4" x14ac:dyDescent="0.25">
      <c r="A30" s="2">
        <v>13</v>
      </c>
      <c r="B30" s="2" t="s">
        <v>37</v>
      </c>
      <c r="C30" s="2" t="s">
        <v>31</v>
      </c>
      <c r="D30" s="2">
        <v>3</v>
      </c>
    </row>
    <row r="31" spans="1:4" x14ac:dyDescent="0.25">
      <c r="A31" s="2">
        <v>14</v>
      </c>
      <c r="B31" s="2" t="s">
        <v>38</v>
      </c>
      <c r="C31" s="2" t="s">
        <v>31</v>
      </c>
      <c r="D31" s="2">
        <v>3</v>
      </c>
    </row>
    <row r="32" spans="1:4" x14ac:dyDescent="0.25">
      <c r="A32" s="2">
        <v>15</v>
      </c>
      <c r="B32" s="2" t="s">
        <v>39</v>
      </c>
      <c r="C32" s="2" t="s">
        <v>31</v>
      </c>
      <c r="D32" s="2">
        <v>3</v>
      </c>
    </row>
    <row r="33" spans="1:4" x14ac:dyDescent="0.25">
      <c r="A33" s="2">
        <v>17</v>
      </c>
      <c r="B33" s="2" t="s">
        <v>40</v>
      </c>
      <c r="C33" s="2" t="s">
        <v>31</v>
      </c>
      <c r="D33" s="2">
        <v>3</v>
      </c>
    </row>
    <row r="34" spans="1:4" x14ac:dyDescent="0.25">
      <c r="A34" s="2">
        <v>31</v>
      </c>
      <c r="B34" s="2" t="s">
        <v>41</v>
      </c>
      <c r="C34" s="2" t="s">
        <v>31</v>
      </c>
      <c r="D34" s="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laghouanemsofien</dc:creator>
  <cp:lastModifiedBy>KAYTO _01</cp:lastModifiedBy>
  <dcterms:created xsi:type="dcterms:W3CDTF">2025-02-11T10:59:38Z</dcterms:created>
  <dcterms:modified xsi:type="dcterms:W3CDTF">2025-02-11T21:18:47Z</dcterms:modified>
</cp:coreProperties>
</file>