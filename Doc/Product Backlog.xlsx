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yto\Desktop\IT\Projects\Stage\Stage PFE\Visit_Management\Doc\"/>
    </mc:Choice>
  </mc:AlternateContent>
  <xr:revisionPtr revIDLastSave="0" documentId="13_ncr:1_{D38173AA-4006-4BF1-A40E-814349A9FB81}" xr6:coauthVersionLast="47" xr6:coauthVersionMax="47" xr10:uidLastSave="{00000000-0000-0000-0000-000000000000}"/>
  <bookViews>
    <workbookView xWindow="-120" yWindow="-120" windowWidth="38640" windowHeight="21120" xr2:uid="{47B1803A-116E-467D-AB76-53B1EF3841AE}"/>
  </bookViews>
  <sheets>
    <sheet name="Product Backlog" sheetId="2" r:id="rId1"/>
    <sheet name="Sprint Backlog" sheetId="4" r:id="rId2"/>
  </sheets>
  <definedNames>
    <definedName name="_xlnm._FilterDatabase" localSheetId="0" hidden="1">'Product Backlog'!$B$2:$G$2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4" l="1"/>
  <c r="E31" i="4" s="1"/>
  <c r="K4" i="2"/>
  <c r="K6" i="2" s="1"/>
  <c r="K3" i="2"/>
  <c r="K7" i="2" l="1"/>
</calcChain>
</file>

<file path=xl/sharedStrings.xml><?xml version="1.0" encoding="utf-8"?>
<sst xmlns="http://schemas.openxmlformats.org/spreadsheetml/2006/main" count="596" uniqueCount="149">
  <si>
    <t>ID</t>
  </si>
  <si>
    <t>US</t>
  </si>
  <si>
    <t>BV</t>
  </si>
  <si>
    <t>Priority</t>
  </si>
  <si>
    <t>Effort</t>
  </si>
  <si>
    <t>As a Supervisor, I want to log visits manually so that I can record visit details when a QR code is unavailable.</t>
  </si>
  <si>
    <t>High</t>
  </si>
  <si>
    <t>As a Supervisor, I want to log visits using a QR code scanner so that I can quickly and accurately record visit details.</t>
  </si>
  <si>
    <t>As a Supervisor, I want to validate checklists for each visit so that all required tasks are completed.</t>
  </si>
  <si>
    <t>As a Supervisor, I want to create new timesheets so that I can manage my weekly schedule.</t>
  </si>
  <si>
    <t>As a Manager, I want to view and validate timesheets so that accuracy is maintained.</t>
  </si>
  <si>
    <t>As a Manager, I want to generate dynamic reports filtered by date range so that specific periods can be analyzed.</t>
  </si>
  <si>
    <t>As a Manager, I want to view KPI dashboards with charts and graphs so that key performance indicators can be visualized.</t>
  </si>
  <si>
    <t>As an AI Model, I want to analyze timesheet and visit data to detect irregularities so that potential issues can be flagged.</t>
  </si>
  <si>
    <t>As a User, I want to securely log in using my credentials so that I can access the platform.</t>
  </si>
  <si>
    <t>Medium</t>
  </si>
  <si>
    <t>As an Admin, I want to create new user accounts so that users can access the platform.</t>
  </si>
  <si>
    <t>As a Supervisor, I want to receive real-time notifications for visits so that I know what to do.</t>
  </si>
  <si>
    <t>As a Supervisor, I want to enter data offline so that I can continue working without internet connectivity.</t>
  </si>
  <si>
    <t>As a Manager, I want to generate dynamic reports filtered by supervisor so that individual performance can be assessed.</t>
  </si>
  <si>
    <t>As a Manager, I want to generate dynamic reports filtered by region so that regional performance can be evaluated.</t>
  </si>
  <si>
    <t>As a Manager, I want to export reports in PDF format so that they can be shared easily.</t>
  </si>
  <si>
    <t>As a Manager, I want to export reports in Excel format so that further analysis can be performed.</t>
  </si>
  <si>
    <t>As a Manager, I want to receive anomaly alerts in dashboards so that issues can be addressed promptly.</t>
  </si>
  <si>
    <t>As a Manager, I want to receive real-time notifications for pending validations so that I can take necessary actions.</t>
  </si>
  <si>
    <t>As a Manager, I want to receive real-time notifications for detected anomalies so that timely interventions can occur.</t>
  </si>
  <si>
    <t>As an AI Model, I want to generate automated reports using predictive analytics so that comprehensive insights can be provided.</t>
  </si>
  <si>
    <t>As an AI Model, I want to send real-time alerts based on findings so that relevant users can act immediately.</t>
  </si>
  <si>
    <t>As a User, I want to edit my own profile information so that my details are accurate.</t>
  </si>
  <si>
    <t>Low</t>
  </si>
  <si>
    <t>As an Admin, I want to modify existing user accounts so that user information remains up-to-date.</t>
  </si>
  <si>
    <t>As an Admin, I want to delete user accounts so that inactive or unnecessary accounts can be removed.</t>
  </si>
  <si>
    <t>As an Admin, I want to revoke roles from users so that permissions can be adjusted as needed.</t>
  </si>
  <si>
    <t>As a Supervisor, I want to upload photos related to the visit so that visual documentation is available.</t>
  </si>
  <si>
    <t>As a Supervisor, I want to add comments to visit logs so that additional context can be provided.</t>
  </si>
  <si>
    <t>As a Supervisor, I want to view past visit logs so that I can review historical data.</t>
  </si>
  <si>
    <t>As a Supervisor, I want to edit past visit logs so that corrections can be made.</t>
  </si>
  <si>
    <t>As a Supervisor, I want to delete visit logs so that incorrect entries can be removed.</t>
  </si>
  <si>
    <t>As a Supervisor, I want to update existing timesheets so that changes can be reflected.</t>
  </si>
  <si>
    <t>As an HR, I want to review timesheets so that employee attendance and performance can be monitored.</t>
  </si>
  <si>
    <t>Description</t>
  </si>
  <si>
    <t>Manual visit logging</t>
  </si>
  <si>
    <t>QR code-based visit logging</t>
  </si>
  <si>
    <t>Create timesheets</t>
  </si>
  <si>
    <t>Validate timesheets</t>
  </si>
  <si>
    <t>Generate date-range filtered reports</t>
  </si>
  <si>
    <t>Visualize KPI dashboards</t>
  </si>
  <si>
    <t>Detect anomalies in data</t>
  </si>
  <si>
    <t>Secure login</t>
  </si>
  <si>
    <t>Create user accounts</t>
  </si>
  <si>
    <t>Assign user roles</t>
  </si>
  <si>
    <t>Real-time visit notifications</t>
  </si>
  <si>
    <t>Offline data entry</t>
  </si>
  <si>
    <t>Generate supervisor-filtered reports</t>
  </si>
  <si>
    <t>Generate region-filtered reports</t>
  </si>
  <si>
    <t>Export reports as PDF</t>
  </si>
  <si>
    <t>Export reports as Excel</t>
  </si>
  <si>
    <t>Anomaly alerts in dashboards</t>
  </si>
  <si>
    <t>Real-time pending validation notifications</t>
  </si>
  <si>
    <t>Real-time anomaly notifications</t>
  </si>
  <si>
    <t>Predictive analytics for reports</t>
  </si>
  <si>
    <t>Real-time AI-based alerts</t>
  </si>
  <si>
    <t>Edit user profile</t>
  </si>
  <si>
    <t>Modify user accounts</t>
  </si>
  <si>
    <t>Delete user accounts</t>
  </si>
  <si>
    <t>Revoke user roles</t>
  </si>
  <si>
    <t>Upload visit photos</t>
  </si>
  <si>
    <t>Add comments to visit logs</t>
  </si>
  <si>
    <t>View past visit logs</t>
  </si>
  <si>
    <t>Edit past visit logs</t>
  </si>
  <si>
    <t>Delete visit logs</t>
  </si>
  <si>
    <t>Update timesheets</t>
  </si>
  <si>
    <t>Review timesheets</t>
  </si>
  <si>
    <t>Velocity</t>
  </si>
  <si>
    <t>Sprints</t>
  </si>
  <si>
    <t>Sprint Weeks</t>
  </si>
  <si>
    <t>Project Weeks</t>
  </si>
  <si>
    <t>Sprint Efforts</t>
  </si>
  <si>
    <t>US1</t>
  </si>
  <si>
    <t>US2</t>
  </si>
  <si>
    <t>Checklist validation</t>
  </si>
  <si>
    <t>US3</t>
  </si>
  <si>
    <t>US4</t>
  </si>
  <si>
    <t>US5</t>
  </si>
  <si>
    <t>US6</t>
  </si>
  <si>
    <t>US7</t>
  </si>
  <si>
    <t>US8</t>
  </si>
  <si>
    <t>US9</t>
  </si>
  <si>
    <t>US10</t>
  </si>
  <si>
    <t>US11</t>
  </si>
  <si>
    <t>US12</t>
  </si>
  <si>
    <t>US13</t>
  </si>
  <si>
    <t>US14</t>
  </si>
  <si>
    <t>US15</t>
  </si>
  <si>
    <t>US16</t>
  </si>
  <si>
    <t>US17</t>
  </si>
  <si>
    <t>US18</t>
  </si>
  <si>
    <t>US19</t>
  </si>
  <si>
    <t>US20</t>
  </si>
  <si>
    <t>US21</t>
  </si>
  <si>
    <t>US22</t>
  </si>
  <si>
    <t>US23</t>
  </si>
  <si>
    <t>US24</t>
  </si>
  <si>
    <t>US25</t>
  </si>
  <si>
    <t>US26</t>
  </si>
  <si>
    <t>US27</t>
  </si>
  <si>
    <t>US28</t>
  </si>
  <si>
    <t>US29</t>
  </si>
  <si>
    <t>US30</t>
  </si>
  <si>
    <t>US31</t>
  </si>
  <si>
    <t>US32</t>
  </si>
  <si>
    <t>US33</t>
  </si>
  <si>
    <t>US34</t>
  </si>
  <si>
    <t>US35</t>
  </si>
  <si>
    <t>As a User, I want to reset my password if I forget it so that I can regain access to the platform.</t>
  </si>
  <si>
    <t>Password recovery</t>
  </si>
  <si>
    <t>US36</t>
  </si>
  <si>
    <t>As a Supervisor, I want to receive push notifications on my mobile device so that I stay informed about important updates.</t>
  </si>
  <si>
    <t>Push notifications</t>
  </si>
  <si>
    <t>As a Super Admin, I want to assign roles to users so that they have appropriate permissions.</t>
  </si>
  <si>
    <t>As a Super Admin, I want to revoke roles of users so that they have appropriate permissions.</t>
  </si>
  <si>
    <t>Rovoke user roles</t>
  </si>
  <si>
    <t>As a Super Admin, I want to delete roles of users so that they have appropriate permissions.</t>
  </si>
  <si>
    <t>As a Super Admin, I want to create roles of users so that they have appropriate permissions.</t>
  </si>
  <si>
    <t>As a Super Admin, I want to edit roles of users so that they have appropriate permissions.</t>
  </si>
  <si>
    <t>Create user roles</t>
  </si>
  <si>
    <t>Delete user roles</t>
  </si>
  <si>
    <t>Edit user roles</t>
  </si>
  <si>
    <t>Start Date</t>
  </si>
  <si>
    <t>End Date</t>
  </si>
  <si>
    <t>T1: Définition des Besoins</t>
  </si>
  <si>
    <t>T2: Maquettes d’interfaces</t>
  </si>
  <si>
    <t>T3: Analyse des besoins</t>
  </si>
  <si>
    <t>T4: Conception de solution</t>
  </si>
  <si>
    <t>T5: Implémentation du Backend</t>
  </si>
  <si>
    <t>T6: Implémentation du Frontend</t>
  </si>
  <si>
    <t>T7: Test d’intégration</t>
  </si>
  <si>
    <t>T8: Documentation</t>
  </si>
  <si>
    <t>Sprint 2 Backlog</t>
  </si>
  <si>
    <t>US ID</t>
  </si>
  <si>
    <t>Tasks</t>
  </si>
  <si>
    <t>Estimated Time</t>
  </si>
  <si>
    <t>Sprint 3 Backlog</t>
  </si>
  <si>
    <t>Sprint 4 Backlog</t>
  </si>
  <si>
    <t>Sprint 5 Backlog</t>
  </si>
  <si>
    <t>Sprint 6 Backlog</t>
  </si>
  <si>
    <t>Sprint 1 Backlog</t>
  </si>
  <si>
    <t>Daily Each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</si>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</sst>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;@"/>
  </numFmts>
  <fonts count="11" x14ac:knownFonts="1">
    <font>
      <sz val="11"/>
      <color theme="1"/>
      <name val="Aptos Narrow"/>
      <family val="2"/>
      <scheme val="minor"/>
    </font>
    <font>
      <sz val="9.6"/>
      <color theme="1"/>
      <name val="Arial"/>
      <family val="2"/>
    </font>
    <font>
      <sz val="9.6"/>
      <color theme="1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.6"/>
      <color rgb="FFFF0000"/>
      <name val="Arial"/>
      <family val="2"/>
    </font>
    <font>
      <b/>
      <sz val="9.6"/>
      <color theme="3" tint="9.9978637043366805E-2"/>
      <name val="Arial"/>
      <family val="2"/>
    </font>
    <font>
      <b/>
      <sz val="9.6"/>
      <color theme="6" tint="-0.249977111117893"/>
      <name val="Arial"/>
      <family val="2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</fills>
  <borders count="3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7">
    <xf numFmtId="0" fontId="0" fillId="0" borderId="0"/>
    <xf numFmtId="0" fontId="5" fillId="3" borderId="10" applyNumberFormat="0" applyAlignment="0" applyProtection="0"/>
    <xf numFmtId="0" fontId="4" fillId="4" borderId="11" applyNumberFormat="0" applyFont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</cellStyleXfs>
  <cellXfs count="8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164" fontId="0" fillId="0" borderId="2" xfId="0" applyNumberFormat="1" applyBorder="1"/>
    <xf numFmtId="0" fontId="0" fillId="0" borderId="0" xfId="0" applyAlignment="1">
      <alignment horizontal="center" vertical="center" wrapText="1"/>
    </xf>
    <xf numFmtId="0" fontId="0" fillId="0" borderId="2" xfId="0" applyBorder="1"/>
    <xf numFmtId="0" fontId="1" fillId="0" borderId="2" xfId="0" applyFont="1" applyBorder="1" applyAlignment="1">
      <alignment vertical="center" wrapText="1"/>
    </xf>
    <xf numFmtId="0" fontId="0" fillId="0" borderId="2" xfId="0" applyBorder="1" applyAlignment="1">
      <alignment horizontal="center" vertical="center" wrapText="1"/>
    </xf>
    <xf numFmtId="0" fontId="0" fillId="0" borderId="5" xfId="0" applyBorder="1"/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5" xfId="0" applyBorder="1"/>
    <xf numFmtId="0" fontId="0" fillId="0" borderId="26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/>
    </xf>
    <xf numFmtId="0" fontId="0" fillId="0" borderId="0" xfId="0" applyBorder="1" applyAlignment="1">
      <alignment horizontal="right"/>
    </xf>
    <xf numFmtId="0" fontId="0" fillId="0" borderId="2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" fillId="7" borderId="15" xfId="5" applyBorder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6" fillId="6" borderId="15" xfId="4" applyBorder="1" applyAlignment="1">
      <alignment vertical="center" wrapText="1"/>
    </xf>
    <xf numFmtId="0" fontId="6" fillId="8" borderId="17" xfId="6" applyBorder="1" applyAlignment="1">
      <alignment vertical="center" wrapText="1"/>
    </xf>
    <xf numFmtId="0" fontId="2" fillId="0" borderId="18" xfId="0" applyFont="1" applyBorder="1" applyAlignment="1">
      <alignment vertical="center" wrapText="1"/>
    </xf>
    <xf numFmtId="0" fontId="2" fillId="0" borderId="18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/>
    <xf numFmtId="0" fontId="0" fillId="2" borderId="29" xfId="0" applyFill="1" applyBorder="1" applyAlignment="1">
      <alignment horizontal="center"/>
    </xf>
    <xf numFmtId="0" fontId="0" fillId="2" borderId="2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0" fontId="1" fillId="0" borderId="13" xfId="0" applyFont="1" applyBorder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1" fillId="0" borderId="18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6" fillId="5" borderId="17" xfId="3" applyBorder="1" applyAlignment="1">
      <alignment vertical="center" wrapText="1"/>
    </xf>
    <xf numFmtId="0" fontId="6" fillId="8" borderId="15" xfId="6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7" fillId="0" borderId="18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8" fillId="0" borderId="18" xfId="0" applyFont="1" applyBorder="1" applyAlignment="1">
      <alignment vertical="center" wrapText="1"/>
    </xf>
    <xf numFmtId="0" fontId="8" fillId="0" borderId="13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9" fillId="0" borderId="18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6" fillId="6" borderId="12" xfId="4" applyBorder="1" applyAlignment="1">
      <alignment vertical="center" wrapText="1"/>
    </xf>
    <xf numFmtId="0" fontId="6" fillId="6" borderId="17" xfId="4" applyBorder="1" applyAlignment="1">
      <alignment vertical="center" wrapText="1"/>
    </xf>
    <xf numFmtId="0" fontId="10" fillId="4" borderId="15" xfId="2" applyFont="1" applyBorder="1" applyAlignment="1">
      <alignment vertical="center" wrapText="1"/>
    </xf>
    <xf numFmtId="0" fontId="5" fillId="3" borderId="17" xfId="1" applyBorder="1" applyAlignment="1">
      <alignment vertical="center" wrapText="1"/>
    </xf>
    <xf numFmtId="0" fontId="6" fillId="6" borderId="31" xfId="4" applyBorder="1" applyAlignment="1">
      <alignment vertical="center" wrapText="1"/>
    </xf>
    <xf numFmtId="0" fontId="5" fillId="3" borderId="15" xfId="1" applyBorder="1" applyAlignment="1">
      <alignment vertical="center" wrapText="1"/>
    </xf>
    <xf numFmtId="0" fontId="5" fillId="3" borderId="12" xfId="1" applyBorder="1" applyAlignment="1">
      <alignment vertical="center" wrapText="1"/>
    </xf>
    <xf numFmtId="0" fontId="6" fillId="8" borderId="12" xfId="6" applyBorder="1" applyAlignment="1">
      <alignment vertical="center" wrapText="1"/>
    </xf>
    <xf numFmtId="0" fontId="6" fillId="8" borderId="32" xfId="6" applyBorder="1" applyAlignment="1">
      <alignment vertical="center" wrapText="1"/>
    </xf>
    <xf numFmtId="0" fontId="6" fillId="8" borderId="31" xfId="6" applyBorder="1" applyAlignment="1">
      <alignment vertical="center" wrapText="1"/>
    </xf>
  </cellXfs>
  <cellStyles count="7">
    <cellStyle name="Accent1" xfId="3" builtinId="29"/>
    <cellStyle name="Accent4" xfId="4" builtinId="41"/>
    <cellStyle name="Accent5" xfId="5" builtinId="45"/>
    <cellStyle name="Accent6" xfId="6" builtinId="49"/>
    <cellStyle name="Input" xfId="1" builtinId="20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4293EC2-4C67-4581-97BA-48195CEF82E3}">
  <we:reference id="0986d9dd-94f1-4b67-978d-c4cf6e6142a8" version="21.5.1.1" store="EXCatalog" storeType="EXCatalog"/>
  <we:alternateReferences>
    <we:reference id="WA200000018" version="21.5.1.1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PsiVary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PsiSixSigma</we:customFunctionIds>
        <we:customFunctionIds>PsiTSSync</we:customFunctionIds>
        <we:customFunctionIds>PsiConvergence</we:customFunctionIds>
        <we:customFunctionIds>PsiIsDate</we:customFunctionIds>
        <we:customFunctionIds>PsiIsDiscrete</we:customFunctionIds>
        <we:customFunctionIds>PsiLibrary</we:customFunctionIds>
        <we:customFunctionIds>PsiFitInfo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PsiCalcParam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PsiFatigueLifeAlt</we:customFunctionIds>
        <we:customFunctionIds>PsiFrechetAlt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PsiBoxIterator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  <we:customFunctionIds>PsiModelDesc</we:customFunctionIds>
        <we:customFunctionIds>PsiCorrectCorrmat</we:customFunctionIds>
        <we:customFunctionIds>PsiStatic</we:customFunctionIds>
        <we:customFunctionIds>PsiMakeInput</we:customFunctionIds>
        <we:customFunctionIds>PsiSimulationInfo</we:customFunctionIds>
        <we:customFunctionIds>PsiConverged</we:customFunctionIds>
        <we:customFunctionIds>PsiDistInfo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67ADB-C6C5-4254-AAD7-3296496ECAD6}">
  <dimension ref="B1:M41"/>
  <sheetViews>
    <sheetView showGridLines="0" tabSelected="1" zoomScale="115" zoomScaleNormal="115" workbookViewId="0">
      <selection activeCell="J41" sqref="J41"/>
    </sheetView>
  </sheetViews>
  <sheetFormatPr defaultRowHeight="15" customHeight="1" x14ac:dyDescent="0.25"/>
  <cols>
    <col min="2" max="2" width="7.42578125" bestFit="1" customWidth="1"/>
    <col min="3" max="3" width="104.42578125" customWidth="1"/>
    <col min="4" max="4" width="33.7109375" customWidth="1"/>
    <col min="6" max="6" width="7.28515625" style="1" bestFit="1" customWidth="1"/>
    <col min="7" max="7" width="7.7109375" style="1" customWidth="1"/>
    <col min="8" max="8" width="7.28515625" style="1" bestFit="1" customWidth="1"/>
    <col min="9" max="9" width="8.28515625" customWidth="1"/>
    <col min="10" max="10" width="21.7109375" customWidth="1"/>
    <col min="11" max="11" width="7.28515625" bestFit="1" customWidth="1"/>
  </cols>
  <sheetData>
    <row r="1" spans="2:13" ht="15" customHeight="1" thickBot="1" x14ac:dyDescent="0.3"/>
    <row r="2" spans="2:13" ht="15" customHeight="1" thickBot="1" x14ac:dyDescent="0.3">
      <c r="B2" s="53" t="s">
        <v>0</v>
      </c>
      <c r="C2" s="54" t="s">
        <v>1</v>
      </c>
      <c r="D2" s="54" t="s">
        <v>40</v>
      </c>
      <c r="E2" s="55" t="s">
        <v>2</v>
      </c>
      <c r="F2" s="56" t="s">
        <v>3</v>
      </c>
      <c r="G2" s="56" t="s">
        <v>4</v>
      </c>
      <c r="H2" s="57" t="s">
        <v>74</v>
      </c>
    </row>
    <row r="3" spans="2:13" ht="15" customHeight="1" thickBot="1" x14ac:dyDescent="0.3">
      <c r="B3" s="82" t="s">
        <v>94</v>
      </c>
      <c r="C3" s="58" t="s">
        <v>5</v>
      </c>
      <c r="D3" s="59" t="s">
        <v>41</v>
      </c>
      <c r="E3" s="66" t="s">
        <v>6</v>
      </c>
      <c r="F3" s="60">
        <v>1</v>
      </c>
      <c r="G3" s="60">
        <v>21</v>
      </c>
      <c r="H3" s="61">
        <v>1</v>
      </c>
      <c r="J3" s="6" t="s">
        <v>73</v>
      </c>
      <c r="K3" s="2">
        <f>SUM(G3:G41)</f>
        <v>190</v>
      </c>
      <c r="M3" s="5" t="s">
        <v>2</v>
      </c>
    </row>
    <row r="4" spans="2:13" ht="15" customHeight="1" thickBot="1" x14ac:dyDescent="0.3">
      <c r="B4" s="65" t="s">
        <v>100</v>
      </c>
      <c r="C4" s="12" t="s">
        <v>8</v>
      </c>
      <c r="D4" s="17" t="s">
        <v>80</v>
      </c>
      <c r="E4" s="67" t="s">
        <v>6</v>
      </c>
      <c r="F4" s="13">
        <v>2</v>
      </c>
      <c r="G4" s="13">
        <v>3</v>
      </c>
      <c r="H4" s="45"/>
      <c r="J4" s="9" t="s">
        <v>76</v>
      </c>
      <c r="K4" s="7">
        <f>ROUNDDOWN((K10-K9)/7,0)</f>
        <v>12</v>
      </c>
      <c r="M4" s="4" t="s">
        <v>6</v>
      </c>
    </row>
    <row r="5" spans="2:13" ht="15" customHeight="1" thickBot="1" x14ac:dyDescent="0.3">
      <c r="B5" s="49" t="s">
        <v>90</v>
      </c>
      <c r="C5" s="50" t="s">
        <v>9</v>
      </c>
      <c r="D5" s="62" t="s">
        <v>43</v>
      </c>
      <c r="E5" s="68" t="s">
        <v>6</v>
      </c>
      <c r="F5" s="51">
        <v>3</v>
      </c>
      <c r="G5" s="51">
        <v>8</v>
      </c>
      <c r="H5" s="52"/>
      <c r="J5" s="8" t="s">
        <v>75</v>
      </c>
      <c r="K5" s="2">
        <v>2</v>
      </c>
      <c r="M5" s="4" t="s">
        <v>15</v>
      </c>
    </row>
    <row r="6" spans="2:13" ht="15" customHeight="1" thickBot="1" x14ac:dyDescent="0.3">
      <c r="B6" s="75" t="s">
        <v>87</v>
      </c>
      <c r="C6" s="58" t="s">
        <v>10</v>
      </c>
      <c r="D6" s="58" t="s">
        <v>44</v>
      </c>
      <c r="E6" s="66" t="s">
        <v>6</v>
      </c>
      <c r="F6" s="60">
        <v>4</v>
      </c>
      <c r="G6" s="60">
        <v>3</v>
      </c>
      <c r="H6" s="61">
        <v>2</v>
      </c>
      <c r="J6" s="11" t="s">
        <v>74</v>
      </c>
      <c r="K6" s="10">
        <f>K4/K5</f>
        <v>6</v>
      </c>
      <c r="M6" s="4" t="s">
        <v>29</v>
      </c>
    </row>
    <row r="7" spans="2:13" ht="15" customHeight="1" thickBot="1" x14ac:dyDescent="0.3">
      <c r="B7" s="48" t="s">
        <v>81</v>
      </c>
      <c r="C7" s="12" t="s">
        <v>11</v>
      </c>
      <c r="D7" s="12" t="s">
        <v>45</v>
      </c>
      <c r="E7" s="67" t="s">
        <v>6</v>
      </c>
      <c r="F7" s="13">
        <v>5</v>
      </c>
      <c r="G7" s="13">
        <v>8</v>
      </c>
      <c r="H7" s="45"/>
      <c r="J7" s="8" t="s">
        <v>77</v>
      </c>
      <c r="K7" s="3">
        <f>K3/K6</f>
        <v>31.666666666666668</v>
      </c>
    </row>
    <row r="8" spans="2:13" ht="15" customHeight="1" x14ac:dyDescent="0.25">
      <c r="B8" s="48" t="s">
        <v>88</v>
      </c>
      <c r="C8" s="12" t="s">
        <v>12</v>
      </c>
      <c r="D8" s="12" t="s">
        <v>46</v>
      </c>
      <c r="E8" s="67" t="s">
        <v>6</v>
      </c>
      <c r="F8" s="13">
        <v>6</v>
      </c>
      <c r="G8" s="13">
        <v>5</v>
      </c>
      <c r="H8" s="45"/>
    </row>
    <row r="9" spans="2:13" ht="15" customHeight="1" x14ac:dyDescent="0.25">
      <c r="B9" s="46" t="s">
        <v>107</v>
      </c>
      <c r="C9" s="12" t="s">
        <v>16</v>
      </c>
      <c r="D9" s="12" t="s">
        <v>49</v>
      </c>
      <c r="E9" s="67" t="s">
        <v>6</v>
      </c>
      <c r="F9" s="13">
        <v>7</v>
      </c>
      <c r="G9" s="13">
        <v>5</v>
      </c>
      <c r="H9" s="45"/>
      <c r="J9" s="6" t="s">
        <v>128</v>
      </c>
      <c r="K9" s="14">
        <v>45704</v>
      </c>
    </row>
    <row r="10" spans="2:13" ht="15" customHeight="1" x14ac:dyDescent="0.25">
      <c r="B10" s="47" t="s">
        <v>104</v>
      </c>
      <c r="C10" s="12" t="s">
        <v>14</v>
      </c>
      <c r="D10" s="12" t="s">
        <v>48</v>
      </c>
      <c r="E10" s="67" t="s">
        <v>6</v>
      </c>
      <c r="F10" s="13">
        <v>8</v>
      </c>
      <c r="G10" s="13">
        <v>8</v>
      </c>
      <c r="H10" s="45"/>
      <c r="J10" s="6" t="s">
        <v>129</v>
      </c>
      <c r="K10" s="14">
        <v>45794</v>
      </c>
    </row>
    <row r="11" spans="2:13" ht="15" customHeight="1" thickBot="1" x14ac:dyDescent="0.3">
      <c r="B11" s="63" t="s">
        <v>103</v>
      </c>
      <c r="C11" s="50" t="s">
        <v>114</v>
      </c>
      <c r="D11" s="50" t="s">
        <v>115</v>
      </c>
      <c r="E11" s="68" t="s">
        <v>6</v>
      </c>
      <c r="F11" s="51">
        <v>9</v>
      </c>
      <c r="G11" s="51">
        <v>3</v>
      </c>
      <c r="H11" s="52"/>
    </row>
    <row r="12" spans="2:13" ht="15" customHeight="1" x14ac:dyDescent="0.25">
      <c r="B12" s="82" t="s">
        <v>99</v>
      </c>
      <c r="C12" s="58" t="s">
        <v>33</v>
      </c>
      <c r="D12" s="58" t="s">
        <v>66</v>
      </c>
      <c r="E12" s="66" t="s">
        <v>6</v>
      </c>
      <c r="F12" s="60">
        <v>10</v>
      </c>
      <c r="G12" s="60">
        <v>5</v>
      </c>
      <c r="H12" s="61">
        <v>3</v>
      </c>
    </row>
    <row r="13" spans="2:13" ht="15" customHeight="1" x14ac:dyDescent="0.25">
      <c r="B13" s="84" t="s">
        <v>95</v>
      </c>
      <c r="C13" s="12" t="s">
        <v>7</v>
      </c>
      <c r="D13" s="12" t="s">
        <v>42</v>
      </c>
      <c r="E13" s="67" t="s">
        <v>6</v>
      </c>
      <c r="F13" s="13">
        <v>11</v>
      </c>
      <c r="G13" s="13">
        <v>5</v>
      </c>
      <c r="H13" s="45"/>
    </row>
    <row r="14" spans="2:13" ht="15" customHeight="1" x14ac:dyDescent="0.25">
      <c r="B14" s="79" t="s">
        <v>83</v>
      </c>
      <c r="C14" s="12" t="s">
        <v>19</v>
      </c>
      <c r="D14" s="12" t="s">
        <v>53</v>
      </c>
      <c r="E14" s="69" t="s">
        <v>15</v>
      </c>
      <c r="F14" s="13">
        <v>12</v>
      </c>
      <c r="G14" s="13">
        <v>3</v>
      </c>
      <c r="H14" s="45"/>
    </row>
    <row r="15" spans="2:13" ht="15" customHeight="1" x14ac:dyDescent="0.25">
      <c r="B15" s="79" t="s">
        <v>82</v>
      </c>
      <c r="C15" s="12" t="s">
        <v>20</v>
      </c>
      <c r="D15" s="12" t="s">
        <v>54</v>
      </c>
      <c r="E15" s="69" t="s">
        <v>15</v>
      </c>
      <c r="F15" s="13">
        <v>13</v>
      </c>
      <c r="G15" s="13">
        <v>3</v>
      </c>
      <c r="H15" s="45"/>
    </row>
    <row r="16" spans="2:13" ht="15" customHeight="1" x14ac:dyDescent="0.25">
      <c r="B16" s="79" t="s">
        <v>79</v>
      </c>
      <c r="C16" s="12" t="s">
        <v>21</v>
      </c>
      <c r="D16" s="12" t="s">
        <v>55</v>
      </c>
      <c r="E16" s="69" t="s">
        <v>15</v>
      </c>
      <c r="F16" s="13">
        <v>14</v>
      </c>
      <c r="G16" s="13">
        <v>3</v>
      </c>
      <c r="H16" s="45"/>
    </row>
    <row r="17" spans="2:8" ht="15" customHeight="1" x14ac:dyDescent="0.25">
      <c r="B17" s="79" t="s">
        <v>78</v>
      </c>
      <c r="C17" s="12" t="s">
        <v>22</v>
      </c>
      <c r="D17" s="12" t="s">
        <v>56</v>
      </c>
      <c r="E17" s="69" t="s">
        <v>15</v>
      </c>
      <c r="F17" s="13">
        <v>15</v>
      </c>
      <c r="G17" s="13">
        <v>5</v>
      </c>
      <c r="H17" s="45"/>
    </row>
    <row r="18" spans="2:8" ht="15" customHeight="1" thickBot="1" x14ac:dyDescent="0.3">
      <c r="B18" s="49" t="s">
        <v>93</v>
      </c>
      <c r="C18" s="50" t="s">
        <v>18</v>
      </c>
      <c r="D18" s="50" t="s">
        <v>52</v>
      </c>
      <c r="E18" s="70" t="s">
        <v>15</v>
      </c>
      <c r="F18" s="51">
        <v>16</v>
      </c>
      <c r="G18" s="51">
        <v>8</v>
      </c>
      <c r="H18" s="52"/>
    </row>
    <row r="19" spans="2:8" ht="15" customHeight="1" x14ac:dyDescent="0.25">
      <c r="B19" s="75" t="s">
        <v>86</v>
      </c>
      <c r="C19" s="58" t="s">
        <v>24</v>
      </c>
      <c r="D19" s="58" t="s">
        <v>58</v>
      </c>
      <c r="E19" s="71" t="s">
        <v>15</v>
      </c>
      <c r="F19" s="60">
        <v>17</v>
      </c>
      <c r="G19" s="60">
        <v>5</v>
      </c>
      <c r="H19" s="61">
        <v>4</v>
      </c>
    </row>
    <row r="20" spans="2:8" ht="15" customHeight="1" x14ac:dyDescent="0.25">
      <c r="B20" s="77" t="s">
        <v>111</v>
      </c>
      <c r="C20" s="12" t="s">
        <v>13</v>
      </c>
      <c r="D20" s="12" t="s">
        <v>47</v>
      </c>
      <c r="E20" s="69" t="s">
        <v>15</v>
      </c>
      <c r="F20" s="13">
        <v>18</v>
      </c>
      <c r="G20" s="13">
        <v>21</v>
      </c>
      <c r="H20" s="45"/>
    </row>
    <row r="21" spans="2:8" ht="15" customHeight="1" thickBot="1" x14ac:dyDescent="0.3">
      <c r="B21" s="76" t="s">
        <v>84</v>
      </c>
      <c r="C21" s="50" t="s">
        <v>23</v>
      </c>
      <c r="D21" s="50" t="s">
        <v>57</v>
      </c>
      <c r="E21" s="70" t="s">
        <v>15</v>
      </c>
      <c r="F21" s="51">
        <v>19</v>
      </c>
      <c r="G21" s="51">
        <v>5</v>
      </c>
      <c r="H21" s="52"/>
    </row>
    <row r="22" spans="2:8" ht="15" customHeight="1" x14ac:dyDescent="0.25">
      <c r="B22" s="82" t="s">
        <v>97</v>
      </c>
      <c r="C22" s="58" t="s">
        <v>17</v>
      </c>
      <c r="D22" s="58" t="s">
        <v>51</v>
      </c>
      <c r="E22" s="71" t="s">
        <v>15</v>
      </c>
      <c r="F22" s="60">
        <v>20</v>
      </c>
      <c r="G22" s="60">
        <v>5</v>
      </c>
      <c r="H22" s="61">
        <v>5</v>
      </c>
    </row>
    <row r="23" spans="2:8" ht="15" customHeight="1" x14ac:dyDescent="0.25">
      <c r="B23" s="65" t="s">
        <v>96</v>
      </c>
      <c r="C23" s="12" t="s">
        <v>117</v>
      </c>
      <c r="D23" s="12" t="s">
        <v>118</v>
      </c>
      <c r="E23" s="69" t="s">
        <v>15</v>
      </c>
      <c r="F23" s="13">
        <v>21</v>
      </c>
      <c r="G23" s="13">
        <v>3</v>
      </c>
      <c r="H23" s="45"/>
    </row>
    <row r="24" spans="2:8" ht="15" customHeight="1" x14ac:dyDescent="0.25">
      <c r="B24" s="48" t="s">
        <v>85</v>
      </c>
      <c r="C24" s="12" t="s">
        <v>25</v>
      </c>
      <c r="D24" s="12" t="s">
        <v>59</v>
      </c>
      <c r="E24" s="69" t="s">
        <v>15</v>
      </c>
      <c r="F24" s="13">
        <v>22</v>
      </c>
      <c r="G24" s="13">
        <v>5</v>
      </c>
      <c r="H24" s="45"/>
    </row>
    <row r="25" spans="2:8" ht="15" customHeight="1" x14ac:dyDescent="0.25">
      <c r="B25" s="77" t="s">
        <v>112</v>
      </c>
      <c r="C25" s="12" t="s">
        <v>26</v>
      </c>
      <c r="D25" s="12" t="s">
        <v>60</v>
      </c>
      <c r="E25" s="69" t="s">
        <v>15</v>
      </c>
      <c r="F25" s="13">
        <v>23</v>
      </c>
      <c r="G25" s="13">
        <v>8</v>
      </c>
      <c r="H25" s="45"/>
    </row>
    <row r="26" spans="2:8" ht="15" customHeight="1" x14ac:dyDescent="0.25">
      <c r="B26" s="77" t="s">
        <v>113</v>
      </c>
      <c r="C26" s="12" t="s">
        <v>27</v>
      </c>
      <c r="D26" s="12" t="s">
        <v>61</v>
      </c>
      <c r="E26" s="69" t="s">
        <v>15</v>
      </c>
      <c r="F26" s="13">
        <v>24</v>
      </c>
      <c r="G26" s="13">
        <v>5</v>
      </c>
      <c r="H26" s="45"/>
    </row>
    <row r="27" spans="2:8" ht="15" customHeight="1" x14ac:dyDescent="0.25">
      <c r="B27" s="46" t="s">
        <v>109</v>
      </c>
      <c r="C27" s="12" t="s">
        <v>30</v>
      </c>
      <c r="D27" s="12" t="s">
        <v>63</v>
      </c>
      <c r="E27" s="72" t="s">
        <v>29</v>
      </c>
      <c r="F27" s="13">
        <v>25</v>
      </c>
      <c r="G27" s="13">
        <v>3</v>
      </c>
      <c r="H27" s="45"/>
    </row>
    <row r="28" spans="2:8" ht="15" customHeight="1" thickBot="1" x14ac:dyDescent="0.3">
      <c r="B28" s="78" t="s">
        <v>107</v>
      </c>
      <c r="C28" s="50" t="s">
        <v>123</v>
      </c>
      <c r="D28" s="50" t="s">
        <v>125</v>
      </c>
      <c r="E28" s="73" t="s">
        <v>29</v>
      </c>
      <c r="F28" s="51">
        <v>26</v>
      </c>
      <c r="G28" s="51">
        <v>3</v>
      </c>
      <c r="H28" s="52"/>
    </row>
    <row r="29" spans="2:8" ht="15" customHeight="1" x14ac:dyDescent="0.25">
      <c r="B29" s="81" t="s">
        <v>105</v>
      </c>
      <c r="C29" s="58" t="s">
        <v>119</v>
      </c>
      <c r="D29" s="58" t="s">
        <v>50</v>
      </c>
      <c r="E29" s="74" t="s">
        <v>29</v>
      </c>
      <c r="F29" s="60">
        <v>27</v>
      </c>
      <c r="G29" s="60">
        <v>3</v>
      </c>
      <c r="H29" s="61">
        <v>6</v>
      </c>
    </row>
    <row r="30" spans="2:8" ht="15" customHeight="1" x14ac:dyDescent="0.25">
      <c r="B30" s="80" t="s">
        <v>106</v>
      </c>
      <c r="C30" s="12" t="s">
        <v>120</v>
      </c>
      <c r="D30" s="12" t="s">
        <v>121</v>
      </c>
      <c r="E30" s="72" t="s">
        <v>29</v>
      </c>
      <c r="F30" s="13">
        <v>28</v>
      </c>
      <c r="G30" s="13">
        <v>1</v>
      </c>
      <c r="H30" s="45"/>
    </row>
    <row r="31" spans="2:8" ht="15" customHeight="1" x14ac:dyDescent="0.25">
      <c r="B31" s="80" t="s">
        <v>108</v>
      </c>
      <c r="C31" s="12" t="s">
        <v>122</v>
      </c>
      <c r="D31" s="12" t="s">
        <v>126</v>
      </c>
      <c r="E31" s="72" t="s">
        <v>29</v>
      </c>
      <c r="F31" s="13">
        <v>29</v>
      </c>
      <c r="G31" s="13">
        <v>1</v>
      </c>
      <c r="H31" s="45"/>
    </row>
    <row r="32" spans="2:8" ht="15" customHeight="1" x14ac:dyDescent="0.25">
      <c r="B32" s="80" t="s">
        <v>109</v>
      </c>
      <c r="C32" s="12" t="s">
        <v>124</v>
      </c>
      <c r="D32" s="12" t="s">
        <v>127</v>
      </c>
      <c r="E32" s="72" t="s">
        <v>29</v>
      </c>
      <c r="F32" s="13">
        <v>30</v>
      </c>
      <c r="G32" s="13">
        <v>2</v>
      </c>
      <c r="H32" s="45"/>
    </row>
    <row r="33" spans="2:8" ht="15" customHeight="1" x14ac:dyDescent="0.25">
      <c r="B33" s="47" t="s">
        <v>102</v>
      </c>
      <c r="C33" s="12" t="s">
        <v>28</v>
      </c>
      <c r="D33" s="12" t="s">
        <v>62</v>
      </c>
      <c r="E33" s="72" t="s">
        <v>29</v>
      </c>
      <c r="F33" s="13">
        <v>31</v>
      </c>
      <c r="G33" s="13">
        <v>3</v>
      </c>
      <c r="H33" s="45"/>
    </row>
    <row r="34" spans="2:8" ht="15" customHeight="1" x14ac:dyDescent="0.25">
      <c r="B34" s="46" t="s">
        <v>108</v>
      </c>
      <c r="C34" s="12" t="s">
        <v>31</v>
      </c>
      <c r="D34" s="12" t="s">
        <v>64</v>
      </c>
      <c r="E34" s="72" t="s">
        <v>29</v>
      </c>
      <c r="F34" s="13">
        <v>32</v>
      </c>
      <c r="G34" s="13">
        <v>2</v>
      </c>
      <c r="H34" s="45"/>
    </row>
    <row r="35" spans="2:8" ht="15" customHeight="1" x14ac:dyDescent="0.25">
      <c r="B35" s="46" t="s">
        <v>110</v>
      </c>
      <c r="C35" s="12" t="s">
        <v>32</v>
      </c>
      <c r="D35" s="12" t="s">
        <v>65</v>
      </c>
      <c r="E35" s="72" t="s">
        <v>29</v>
      </c>
      <c r="F35" s="13">
        <v>33</v>
      </c>
      <c r="G35" s="13">
        <v>3</v>
      </c>
      <c r="H35" s="45"/>
    </row>
    <row r="36" spans="2:8" ht="15" customHeight="1" x14ac:dyDescent="0.25">
      <c r="B36" s="65" t="s">
        <v>89</v>
      </c>
      <c r="C36" s="12" t="s">
        <v>34</v>
      </c>
      <c r="D36" s="12" t="s">
        <v>67</v>
      </c>
      <c r="E36" s="72" t="s">
        <v>29</v>
      </c>
      <c r="F36" s="13">
        <v>34</v>
      </c>
      <c r="G36" s="13">
        <v>1</v>
      </c>
      <c r="H36" s="45"/>
    </row>
    <row r="37" spans="2:8" ht="15" customHeight="1" x14ac:dyDescent="0.25">
      <c r="B37" s="65" t="s">
        <v>101</v>
      </c>
      <c r="C37" s="12" t="s">
        <v>35</v>
      </c>
      <c r="D37" s="12" t="s">
        <v>68</v>
      </c>
      <c r="E37" s="72" t="s">
        <v>29</v>
      </c>
      <c r="F37" s="13">
        <v>35</v>
      </c>
      <c r="G37" s="13">
        <v>3</v>
      </c>
      <c r="H37" s="45"/>
    </row>
    <row r="38" spans="2:8" ht="15" customHeight="1" x14ac:dyDescent="0.25">
      <c r="B38" s="83" t="s">
        <v>92</v>
      </c>
      <c r="C38" s="12" t="s">
        <v>36</v>
      </c>
      <c r="D38" s="12" t="s">
        <v>69</v>
      </c>
      <c r="E38" s="72" t="s">
        <v>29</v>
      </c>
      <c r="F38" s="13">
        <v>36</v>
      </c>
      <c r="G38" s="13">
        <v>3</v>
      </c>
      <c r="H38" s="45"/>
    </row>
    <row r="39" spans="2:8" ht="15" customHeight="1" x14ac:dyDescent="0.25">
      <c r="B39" s="83" t="s">
        <v>91</v>
      </c>
      <c r="C39" s="12" t="s">
        <v>37</v>
      </c>
      <c r="D39" s="12" t="s">
        <v>70</v>
      </c>
      <c r="E39" s="72" t="s">
        <v>29</v>
      </c>
      <c r="F39" s="13">
        <v>37</v>
      </c>
      <c r="G39" s="13">
        <v>3</v>
      </c>
      <c r="H39" s="45"/>
    </row>
    <row r="40" spans="2:8" ht="15" customHeight="1" x14ac:dyDescent="0.25">
      <c r="B40" s="83" t="s">
        <v>98</v>
      </c>
      <c r="C40" s="12" t="s">
        <v>38</v>
      </c>
      <c r="D40" s="12" t="s">
        <v>71</v>
      </c>
      <c r="E40" s="72" t="s">
        <v>29</v>
      </c>
      <c r="F40" s="13">
        <v>38</v>
      </c>
      <c r="G40" s="13">
        <v>3</v>
      </c>
      <c r="H40" s="45"/>
    </row>
    <row r="41" spans="2:8" ht="15" customHeight="1" thickBot="1" x14ac:dyDescent="0.3">
      <c r="B41" s="64" t="s">
        <v>116</v>
      </c>
      <c r="C41" s="50" t="s">
        <v>39</v>
      </c>
      <c r="D41" s="50" t="s">
        <v>72</v>
      </c>
      <c r="E41" s="73" t="s">
        <v>29</v>
      </c>
      <c r="F41" s="51">
        <v>39</v>
      </c>
      <c r="G41" s="51">
        <v>3</v>
      </c>
      <c r="H41" s="52"/>
    </row>
  </sheetData>
  <autoFilter ref="B2:G2" xr:uid="{48467ADB-C6C5-4254-AAD7-3296496ECAD6}">
    <sortState xmlns:xlrd2="http://schemas.microsoft.com/office/spreadsheetml/2017/richdata2" ref="B3:G41">
      <sortCondition ref="F2"/>
    </sortState>
  </autoFilter>
  <mergeCells count="6">
    <mergeCell ref="H29:H41"/>
    <mergeCell ref="H3:H5"/>
    <mergeCell ref="H6:H11"/>
    <mergeCell ref="H12:H18"/>
    <mergeCell ref="H19:H21"/>
    <mergeCell ref="H22:H28"/>
  </mergeCells>
  <phoneticPr fontId="3" type="noConversion"/>
  <dataValidations count="1">
    <dataValidation type="list" allowBlank="1" showInputMessage="1" showErrorMessage="1" sqref="E3:E41" xr:uid="{65893C47-9718-40F8-8281-4B43B983E79B}">
      <formula1>$M$4:$M$6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1867E-34DE-447F-9746-E80E2BEA00D7}">
  <dimension ref="B1:AI108"/>
  <sheetViews>
    <sheetView showGridLines="0" zoomScale="115" zoomScaleNormal="115" workbookViewId="0">
      <selection activeCell="B2" sqref="B2"/>
    </sheetView>
  </sheetViews>
  <sheetFormatPr defaultRowHeight="15" x14ac:dyDescent="0.25"/>
  <cols>
    <col min="2" max="2" width="9.140625" style="15"/>
    <col min="3" max="3" width="25.7109375" style="15" customWidth="1"/>
    <col min="4" max="4" width="29.7109375" bestFit="1" customWidth="1"/>
    <col min="5" max="5" width="14.5703125" style="1" bestFit="1" customWidth="1"/>
    <col min="9" max="9" width="25.7109375" customWidth="1"/>
    <col min="10" max="10" width="29.7109375" bestFit="1" customWidth="1"/>
    <col min="11" max="11" width="14.5703125" bestFit="1" customWidth="1"/>
    <col min="15" max="15" width="25.7109375" customWidth="1"/>
    <col min="16" max="16" width="32.140625" bestFit="1" customWidth="1"/>
    <col min="17" max="17" width="14.5703125" bestFit="1" customWidth="1"/>
    <col min="21" max="21" width="25.7109375" customWidth="1"/>
    <col min="22" max="22" width="32.140625" bestFit="1" customWidth="1"/>
    <col min="23" max="23" width="16" bestFit="1" customWidth="1"/>
    <col min="27" max="27" width="25.7109375" customWidth="1"/>
    <col min="28" max="28" width="32.140625" bestFit="1" customWidth="1"/>
    <col min="29" max="29" width="16" bestFit="1" customWidth="1"/>
    <col min="33" max="33" width="25.7109375" customWidth="1"/>
    <col min="34" max="34" width="32.140625" bestFit="1" customWidth="1"/>
    <col min="35" max="35" width="16" bestFit="1" customWidth="1"/>
  </cols>
  <sheetData>
    <row r="1" spans="2:35" ht="15.75" thickBot="1" x14ac:dyDescent="0.3"/>
    <row r="2" spans="2:35" ht="30.75" thickBot="1" x14ac:dyDescent="0.3">
      <c r="B2" s="41" t="s">
        <v>146</v>
      </c>
      <c r="H2" s="41" t="s">
        <v>138</v>
      </c>
      <c r="I2" s="15"/>
      <c r="K2" s="1"/>
      <c r="N2" s="41" t="s">
        <v>142</v>
      </c>
      <c r="O2" s="15"/>
      <c r="Q2" s="1"/>
      <c r="T2" s="41" t="s">
        <v>143</v>
      </c>
      <c r="U2" s="15"/>
      <c r="W2" s="1"/>
      <c r="Z2" s="41" t="s">
        <v>144</v>
      </c>
      <c r="AA2" s="15"/>
      <c r="AC2" s="1"/>
      <c r="AF2" s="41" t="s">
        <v>145</v>
      </c>
      <c r="AG2" s="15"/>
      <c r="AI2" s="1"/>
    </row>
    <row r="3" spans="2:35" ht="15.75" thickBot="1" x14ac:dyDescent="0.3">
      <c r="H3" s="15"/>
      <c r="I3" s="15"/>
      <c r="K3" s="1"/>
      <c r="N3" s="15"/>
      <c r="O3" s="15"/>
      <c r="Q3" s="1"/>
      <c r="T3" s="15"/>
      <c r="U3" s="15"/>
      <c r="W3" s="1"/>
      <c r="Z3" s="15"/>
      <c r="AA3" s="15"/>
      <c r="AC3" s="1"/>
      <c r="AF3" s="15"/>
      <c r="AG3" s="15"/>
      <c r="AI3" s="1"/>
    </row>
    <row r="4" spans="2:35" ht="15.75" thickBot="1" x14ac:dyDescent="0.3">
      <c r="B4" s="37" t="s">
        <v>139</v>
      </c>
      <c r="C4" s="38" t="s">
        <v>40</v>
      </c>
      <c r="D4" s="39" t="s">
        <v>140</v>
      </c>
      <c r="E4" s="40" t="s">
        <v>141</v>
      </c>
      <c r="H4" s="37" t="s">
        <v>139</v>
      </c>
      <c r="I4" s="38" t="s">
        <v>40</v>
      </c>
      <c r="J4" s="39" t="s">
        <v>140</v>
      </c>
      <c r="K4" s="40" t="s">
        <v>141</v>
      </c>
      <c r="N4" s="37" t="s">
        <v>139</v>
      </c>
      <c r="O4" s="38" t="s">
        <v>40</v>
      </c>
      <c r="P4" s="39" t="s">
        <v>140</v>
      </c>
      <c r="Q4" s="40" t="s">
        <v>141</v>
      </c>
      <c r="T4" s="37" t="s">
        <v>139</v>
      </c>
      <c r="U4" s="38" t="s">
        <v>40</v>
      </c>
      <c r="V4" s="39" t="s">
        <v>140</v>
      </c>
      <c r="W4" s="40" t="s">
        <v>141</v>
      </c>
      <c r="Z4" s="37" t="s">
        <v>139</v>
      </c>
      <c r="AA4" s="38" t="s">
        <v>40</v>
      </c>
      <c r="AB4" s="39" t="s">
        <v>140</v>
      </c>
      <c r="AC4" s="40" t="s">
        <v>141</v>
      </c>
      <c r="AF4" s="37" t="s">
        <v>139</v>
      </c>
      <c r="AG4" s="38" t="s">
        <v>40</v>
      </c>
      <c r="AH4" s="39" t="s">
        <v>140</v>
      </c>
      <c r="AI4" s="40" t="s">
        <v>141</v>
      </c>
    </row>
    <row r="5" spans="2:35" x14ac:dyDescent="0.25">
      <c r="B5" s="35" t="s">
        <v>94</v>
      </c>
      <c r="C5" s="20" t="s">
        <v>5</v>
      </c>
      <c r="D5" s="21" t="s">
        <v>130</v>
      </c>
      <c r="E5" s="36">
        <v>2</v>
      </c>
      <c r="H5" s="22" t="s">
        <v>87</v>
      </c>
      <c r="I5" s="23" t="s">
        <v>10</v>
      </c>
      <c r="J5" s="24" t="s">
        <v>130</v>
      </c>
      <c r="K5" s="25"/>
      <c r="N5" s="22" t="s">
        <v>99</v>
      </c>
      <c r="O5" s="23" t="s">
        <v>33</v>
      </c>
      <c r="P5" s="24" t="s">
        <v>130</v>
      </c>
      <c r="Q5" s="25"/>
      <c r="T5" s="22" t="s">
        <v>86</v>
      </c>
      <c r="U5" s="23" t="s">
        <v>24</v>
      </c>
      <c r="V5" s="24" t="s">
        <v>130</v>
      </c>
      <c r="W5" s="25"/>
      <c r="Z5" s="22" t="s">
        <v>97</v>
      </c>
      <c r="AA5" s="23" t="s">
        <v>17</v>
      </c>
      <c r="AB5" s="24" t="s">
        <v>130</v>
      </c>
      <c r="AC5" s="25"/>
      <c r="AF5" s="22" t="s">
        <v>105</v>
      </c>
      <c r="AG5" s="23" t="s">
        <v>119</v>
      </c>
      <c r="AH5" s="24" t="s">
        <v>130</v>
      </c>
      <c r="AI5" s="25"/>
    </row>
    <row r="6" spans="2:35" x14ac:dyDescent="0.25">
      <c r="B6" s="26"/>
      <c r="C6" s="18"/>
      <c r="D6" s="16" t="s">
        <v>131</v>
      </c>
      <c r="E6" s="27">
        <v>3</v>
      </c>
      <c r="H6" s="26"/>
      <c r="I6" s="18"/>
      <c r="J6" s="16" t="s">
        <v>131</v>
      </c>
      <c r="K6" s="27"/>
      <c r="N6" s="26"/>
      <c r="O6" s="18"/>
      <c r="P6" s="16" t="s">
        <v>131</v>
      </c>
      <c r="Q6" s="27"/>
      <c r="T6" s="26"/>
      <c r="U6" s="18"/>
      <c r="V6" s="16" t="s">
        <v>131</v>
      </c>
      <c r="W6" s="27"/>
      <c r="Z6" s="26"/>
      <c r="AA6" s="18"/>
      <c r="AB6" s="16" t="s">
        <v>131</v>
      </c>
      <c r="AC6" s="27"/>
      <c r="AF6" s="26"/>
      <c r="AG6" s="18"/>
      <c r="AH6" s="16" t="s">
        <v>131</v>
      </c>
      <c r="AI6" s="27"/>
    </row>
    <row r="7" spans="2:35" x14ac:dyDescent="0.25">
      <c r="B7" s="26"/>
      <c r="C7" s="18"/>
      <c r="D7" s="16" t="s">
        <v>132</v>
      </c>
      <c r="E7" s="27">
        <v>3</v>
      </c>
      <c r="H7" s="26"/>
      <c r="I7" s="18"/>
      <c r="J7" s="16" t="s">
        <v>132</v>
      </c>
      <c r="K7" s="27"/>
      <c r="N7" s="26"/>
      <c r="O7" s="18"/>
      <c r="P7" s="16" t="s">
        <v>132</v>
      </c>
      <c r="Q7" s="27"/>
      <c r="T7" s="26"/>
      <c r="U7" s="18"/>
      <c r="V7" s="16" t="s">
        <v>132</v>
      </c>
      <c r="W7" s="27"/>
      <c r="Z7" s="26"/>
      <c r="AA7" s="18"/>
      <c r="AB7" s="16" t="s">
        <v>132</v>
      </c>
      <c r="AC7" s="27"/>
      <c r="AF7" s="26"/>
      <c r="AG7" s="18"/>
      <c r="AH7" s="16" t="s">
        <v>132</v>
      </c>
      <c r="AI7" s="27"/>
    </row>
    <row r="8" spans="2:35" x14ac:dyDescent="0.25">
      <c r="B8" s="26"/>
      <c r="C8" s="18"/>
      <c r="D8" s="16" t="s">
        <v>133</v>
      </c>
      <c r="E8" s="27">
        <v>4</v>
      </c>
      <c r="H8" s="26"/>
      <c r="I8" s="18"/>
      <c r="J8" s="16" t="s">
        <v>133</v>
      </c>
      <c r="K8" s="27"/>
      <c r="N8" s="26"/>
      <c r="O8" s="18"/>
      <c r="P8" s="16" t="s">
        <v>133</v>
      </c>
      <c r="Q8" s="27"/>
      <c r="T8" s="26"/>
      <c r="U8" s="18"/>
      <c r="V8" s="16" t="s">
        <v>133</v>
      </c>
      <c r="W8" s="27"/>
      <c r="Z8" s="26"/>
      <c r="AA8" s="18"/>
      <c r="AB8" s="16" t="s">
        <v>133</v>
      </c>
      <c r="AC8" s="27"/>
      <c r="AF8" s="26"/>
      <c r="AG8" s="18"/>
      <c r="AH8" s="16" t="s">
        <v>133</v>
      </c>
      <c r="AI8" s="27"/>
    </row>
    <row r="9" spans="2:35" x14ac:dyDescent="0.25">
      <c r="B9" s="26"/>
      <c r="C9" s="18"/>
      <c r="D9" s="16" t="s">
        <v>134</v>
      </c>
      <c r="E9" s="27">
        <v>10</v>
      </c>
      <c r="H9" s="26"/>
      <c r="I9" s="18"/>
      <c r="J9" s="16" t="s">
        <v>134</v>
      </c>
      <c r="K9" s="27"/>
      <c r="N9" s="26"/>
      <c r="O9" s="18"/>
      <c r="P9" s="16" t="s">
        <v>134</v>
      </c>
      <c r="Q9" s="27"/>
      <c r="T9" s="26"/>
      <c r="U9" s="18"/>
      <c r="V9" s="16" t="s">
        <v>134</v>
      </c>
      <c r="W9" s="27"/>
      <c r="Z9" s="26"/>
      <c r="AA9" s="18"/>
      <c r="AB9" s="16" t="s">
        <v>134</v>
      </c>
      <c r="AC9" s="27"/>
      <c r="AF9" s="26"/>
      <c r="AG9" s="18"/>
      <c r="AH9" s="16" t="s">
        <v>134</v>
      </c>
      <c r="AI9" s="27"/>
    </row>
    <row r="10" spans="2:35" x14ac:dyDescent="0.25">
      <c r="B10" s="26"/>
      <c r="C10" s="18"/>
      <c r="D10" s="16" t="s">
        <v>135</v>
      </c>
      <c r="E10" s="27">
        <v>10</v>
      </c>
      <c r="H10" s="26"/>
      <c r="I10" s="18"/>
      <c r="J10" s="16" t="s">
        <v>135</v>
      </c>
      <c r="K10" s="27"/>
      <c r="N10" s="26"/>
      <c r="O10" s="18"/>
      <c r="P10" s="16" t="s">
        <v>135</v>
      </c>
      <c r="Q10" s="27"/>
      <c r="T10" s="26"/>
      <c r="U10" s="18"/>
      <c r="V10" s="16" t="s">
        <v>135</v>
      </c>
      <c r="W10" s="27"/>
      <c r="Z10" s="26"/>
      <c r="AA10" s="18"/>
      <c r="AB10" s="16" t="s">
        <v>135</v>
      </c>
      <c r="AC10" s="27"/>
      <c r="AF10" s="26"/>
      <c r="AG10" s="18"/>
      <c r="AH10" s="16" t="s">
        <v>135</v>
      </c>
      <c r="AI10" s="27"/>
    </row>
    <row r="11" spans="2:35" x14ac:dyDescent="0.25">
      <c r="B11" s="26"/>
      <c r="C11" s="18"/>
      <c r="D11" s="16" t="s">
        <v>136</v>
      </c>
      <c r="E11" s="27">
        <v>5</v>
      </c>
      <c r="H11" s="26"/>
      <c r="I11" s="18"/>
      <c r="J11" s="16" t="s">
        <v>136</v>
      </c>
      <c r="K11" s="27"/>
      <c r="N11" s="26"/>
      <c r="O11" s="18"/>
      <c r="P11" s="16" t="s">
        <v>136</v>
      </c>
      <c r="Q11" s="27"/>
      <c r="T11" s="26"/>
      <c r="U11" s="18"/>
      <c r="V11" s="16" t="s">
        <v>136</v>
      </c>
      <c r="W11" s="27"/>
      <c r="Z11" s="26"/>
      <c r="AA11" s="18"/>
      <c r="AB11" s="16" t="s">
        <v>136</v>
      </c>
      <c r="AC11" s="27"/>
      <c r="AF11" s="26"/>
      <c r="AG11" s="18"/>
      <c r="AH11" s="16" t="s">
        <v>136</v>
      </c>
      <c r="AI11" s="27"/>
    </row>
    <row r="12" spans="2:35" ht="15.75" thickBot="1" x14ac:dyDescent="0.3">
      <c r="B12" s="33"/>
      <c r="C12" s="32"/>
      <c r="D12" s="19" t="s">
        <v>137</v>
      </c>
      <c r="E12" s="34">
        <v>3</v>
      </c>
      <c r="H12" s="28"/>
      <c r="I12" s="29"/>
      <c r="J12" s="30" t="s">
        <v>137</v>
      </c>
      <c r="K12" s="31"/>
      <c r="N12" s="28"/>
      <c r="O12" s="29"/>
      <c r="P12" s="30" t="s">
        <v>137</v>
      </c>
      <c r="Q12" s="31"/>
      <c r="T12" s="28"/>
      <c r="U12" s="29"/>
      <c r="V12" s="30" t="s">
        <v>137</v>
      </c>
      <c r="W12" s="31"/>
      <c r="Z12" s="28"/>
      <c r="AA12" s="29"/>
      <c r="AB12" s="30" t="s">
        <v>137</v>
      </c>
      <c r="AC12" s="31"/>
      <c r="AF12" s="28"/>
      <c r="AG12" s="29"/>
      <c r="AH12" s="30" t="s">
        <v>137</v>
      </c>
      <c r="AI12" s="31"/>
    </row>
    <row r="13" spans="2:35" x14ac:dyDescent="0.25">
      <c r="B13" s="22" t="s">
        <v>100</v>
      </c>
      <c r="C13" s="23" t="s">
        <v>8</v>
      </c>
      <c r="D13" s="24" t="s">
        <v>130</v>
      </c>
      <c r="E13" s="25">
        <v>1.5</v>
      </c>
      <c r="H13" s="22" t="s">
        <v>81</v>
      </c>
      <c r="I13" s="23" t="s">
        <v>11</v>
      </c>
      <c r="J13" s="24" t="s">
        <v>130</v>
      </c>
      <c r="K13" s="25"/>
      <c r="N13" s="22" t="s">
        <v>95</v>
      </c>
      <c r="O13" s="23" t="s">
        <v>7</v>
      </c>
      <c r="P13" s="24" t="s">
        <v>130</v>
      </c>
      <c r="Q13" s="25"/>
      <c r="T13" s="22" t="s">
        <v>111</v>
      </c>
      <c r="U13" s="23" t="s">
        <v>13</v>
      </c>
      <c r="V13" s="24" t="s">
        <v>130</v>
      </c>
      <c r="W13" s="25"/>
      <c r="Z13" s="22" t="s">
        <v>96</v>
      </c>
      <c r="AA13" s="23" t="s">
        <v>117</v>
      </c>
      <c r="AB13" s="24" t="s">
        <v>130</v>
      </c>
      <c r="AC13" s="25"/>
      <c r="AF13" s="22" t="s">
        <v>106</v>
      </c>
      <c r="AG13" s="23" t="s">
        <v>120</v>
      </c>
      <c r="AH13" s="24" t="s">
        <v>130</v>
      </c>
      <c r="AI13" s="25"/>
    </row>
    <row r="14" spans="2:35" x14ac:dyDescent="0.25">
      <c r="B14" s="26"/>
      <c r="C14" s="18"/>
      <c r="D14" s="16" t="s">
        <v>131</v>
      </c>
      <c r="E14" s="27">
        <v>2</v>
      </c>
      <c r="H14" s="26"/>
      <c r="I14" s="18"/>
      <c r="J14" s="16" t="s">
        <v>131</v>
      </c>
      <c r="K14" s="27"/>
      <c r="N14" s="26"/>
      <c r="O14" s="18"/>
      <c r="P14" s="16" t="s">
        <v>131</v>
      </c>
      <c r="Q14" s="27"/>
      <c r="T14" s="26"/>
      <c r="U14" s="18"/>
      <c r="V14" s="16" t="s">
        <v>131</v>
      </c>
      <c r="W14" s="27"/>
      <c r="Z14" s="26"/>
      <c r="AA14" s="18"/>
      <c r="AB14" s="16" t="s">
        <v>131</v>
      </c>
      <c r="AC14" s="27"/>
      <c r="AF14" s="26"/>
      <c r="AG14" s="18"/>
      <c r="AH14" s="16" t="s">
        <v>131</v>
      </c>
      <c r="AI14" s="27"/>
    </row>
    <row r="15" spans="2:35" x14ac:dyDescent="0.25">
      <c r="B15" s="26"/>
      <c r="C15" s="18"/>
      <c r="D15" s="16" t="s">
        <v>132</v>
      </c>
      <c r="E15" s="27">
        <v>2.5</v>
      </c>
      <c r="H15" s="26"/>
      <c r="I15" s="18"/>
      <c r="J15" s="16" t="s">
        <v>132</v>
      </c>
      <c r="K15" s="27"/>
      <c r="N15" s="26"/>
      <c r="O15" s="18"/>
      <c r="P15" s="16" t="s">
        <v>132</v>
      </c>
      <c r="Q15" s="27"/>
      <c r="T15" s="26"/>
      <c r="U15" s="18"/>
      <c r="V15" s="16" t="s">
        <v>132</v>
      </c>
      <c r="W15" s="27"/>
      <c r="Z15" s="26"/>
      <c r="AA15" s="18"/>
      <c r="AB15" s="16" t="s">
        <v>132</v>
      </c>
      <c r="AC15" s="27"/>
      <c r="AF15" s="26"/>
      <c r="AG15" s="18"/>
      <c r="AH15" s="16" t="s">
        <v>132</v>
      </c>
      <c r="AI15" s="27"/>
    </row>
    <row r="16" spans="2:35" x14ac:dyDescent="0.25">
      <c r="B16" s="26"/>
      <c r="C16" s="18"/>
      <c r="D16" s="16" t="s">
        <v>133</v>
      </c>
      <c r="E16" s="27">
        <v>3</v>
      </c>
      <c r="H16" s="26"/>
      <c r="I16" s="18"/>
      <c r="J16" s="16" t="s">
        <v>133</v>
      </c>
      <c r="K16" s="27"/>
      <c r="N16" s="26"/>
      <c r="O16" s="18"/>
      <c r="P16" s="16" t="s">
        <v>133</v>
      </c>
      <c r="Q16" s="27"/>
      <c r="T16" s="26"/>
      <c r="U16" s="18"/>
      <c r="V16" s="16" t="s">
        <v>133</v>
      </c>
      <c r="W16" s="27"/>
      <c r="Z16" s="26"/>
      <c r="AA16" s="18"/>
      <c r="AB16" s="16" t="s">
        <v>133</v>
      </c>
      <c r="AC16" s="27"/>
      <c r="AF16" s="26"/>
      <c r="AG16" s="18"/>
      <c r="AH16" s="16" t="s">
        <v>133</v>
      </c>
      <c r="AI16" s="27"/>
    </row>
    <row r="17" spans="2:35" x14ac:dyDescent="0.25">
      <c r="B17" s="26"/>
      <c r="C17" s="18"/>
      <c r="D17" s="16" t="s">
        <v>134</v>
      </c>
      <c r="E17" s="27">
        <v>7.5</v>
      </c>
      <c r="H17" s="26"/>
      <c r="I17" s="18"/>
      <c r="J17" s="16" t="s">
        <v>134</v>
      </c>
      <c r="K17" s="27"/>
      <c r="N17" s="26"/>
      <c r="O17" s="18"/>
      <c r="P17" s="16" t="s">
        <v>134</v>
      </c>
      <c r="Q17" s="27"/>
      <c r="T17" s="26"/>
      <c r="U17" s="18"/>
      <c r="V17" s="16" t="s">
        <v>134</v>
      </c>
      <c r="W17" s="27"/>
      <c r="Z17" s="26"/>
      <c r="AA17" s="18"/>
      <c r="AB17" s="16" t="s">
        <v>134</v>
      </c>
      <c r="AC17" s="27"/>
      <c r="AF17" s="26"/>
      <c r="AG17" s="18"/>
      <c r="AH17" s="16" t="s">
        <v>134</v>
      </c>
      <c r="AI17" s="27"/>
    </row>
    <row r="18" spans="2:35" x14ac:dyDescent="0.25">
      <c r="B18" s="26"/>
      <c r="C18" s="18"/>
      <c r="D18" s="16" t="s">
        <v>135</v>
      </c>
      <c r="E18" s="27">
        <v>7.5</v>
      </c>
      <c r="H18" s="26"/>
      <c r="I18" s="18"/>
      <c r="J18" s="16" t="s">
        <v>135</v>
      </c>
      <c r="K18" s="27"/>
      <c r="N18" s="26"/>
      <c r="O18" s="18"/>
      <c r="P18" s="16" t="s">
        <v>135</v>
      </c>
      <c r="Q18" s="27"/>
      <c r="T18" s="26"/>
      <c r="U18" s="18"/>
      <c r="V18" s="16" t="s">
        <v>135</v>
      </c>
      <c r="W18" s="27"/>
      <c r="Z18" s="26"/>
      <c r="AA18" s="18"/>
      <c r="AB18" s="16" t="s">
        <v>135</v>
      </c>
      <c r="AC18" s="27"/>
      <c r="AF18" s="26"/>
      <c r="AG18" s="18"/>
      <c r="AH18" s="16" t="s">
        <v>135</v>
      </c>
      <c r="AI18" s="27"/>
    </row>
    <row r="19" spans="2:35" x14ac:dyDescent="0.25">
      <c r="B19" s="26"/>
      <c r="C19" s="18"/>
      <c r="D19" s="16" t="s">
        <v>136</v>
      </c>
      <c r="E19" s="27">
        <v>4</v>
      </c>
      <c r="H19" s="26"/>
      <c r="I19" s="18"/>
      <c r="J19" s="16" t="s">
        <v>136</v>
      </c>
      <c r="K19" s="27"/>
      <c r="N19" s="26"/>
      <c r="O19" s="18"/>
      <c r="P19" s="16" t="s">
        <v>136</v>
      </c>
      <c r="Q19" s="27"/>
      <c r="T19" s="26"/>
      <c r="U19" s="18"/>
      <c r="V19" s="16" t="s">
        <v>136</v>
      </c>
      <c r="W19" s="27"/>
      <c r="Z19" s="26"/>
      <c r="AA19" s="18"/>
      <c r="AB19" s="16" t="s">
        <v>136</v>
      </c>
      <c r="AC19" s="27"/>
      <c r="AF19" s="26"/>
      <c r="AG19" s="18"/>
      <c r="AH19" s="16" t="s">
        <v>136</v>
      </c>
      <c r="AI19" s="27"/>
    </row>
    <row r="20" spans="2:35" ht="15.75" thickBot="1" x14ac:dyDescent="0.3">
      <c r="B20" s="28"/>
      <c r="C20" s="29"/>
      <c r="D20" s="30" t="s">
        <v>137</v>
      </c>
      <c r="E20" s="31">
        <v>2</v>
      </c>
      <c r="H20" s="28"/>
      <c r="I20" s="29"/>
      <c r="J20" s="30" t="s">
        <v>137</v>
      </c>
      <c r="K20" s="31"/>
      <c r="N20" s="28"/>
      <c r="O20" s="29"/>
      <c r="P20" s="30" t="s">
        <v>137</v>
      </c>
      <c r="Q20" s="31"/>
      <c r="T20" s="28"/>
      <c r="U20" s="29"/>
      <c r="V20" s="30" t="s">
        <v>137</v>
      </c>
      <c r="W20" s="31"/>
      <c r="Z20" s="28"/>
      <c r="AA20" s="29"/>
      <c r="AB20" s="30" t="s">
        <v>137</v>
      </c>
      <c r="AC20" s="31"/>
      <c r="AF20" s="28"/>
      <c r="AG20" s="29"/>
      <c r="AH20" s="30" t="s">
        <v>137</v>
      </c>
      <c r="AI20" s="31"/>
    </row>
    <row r="21" spans="2:35" x14ac:dyDescent="0.25">
      <c r="B21" s="22" t="s">
        <v>90</v>
      </c>
      <c r="C21" s="23" t="s">
        <v>9</v>
      </c>
      <c r="D21" s="24" t="s">
        <v>130</v>
      </c>
      <c r="E21" s="25">
        <v>2.5</v>
      </c>
      <c r="H21" s="22" t="s">
        <v>88</v>
      </c>
      <c r="I21" s="23" t="s">
        <v>12</v>
      </c>
      <c r="J21" s="24" t="s">
        <v>130</v>
      </c>
      <c r="K21" s="25"/>
      <c r="N21" s="22" t="s">
        <v>83</v>
      </c>
      <c r="O21" s="23" t="s">
        <v>19</v>
      </c>
      <c r="P21" s="24" t="s">
        <v>130</v>
      </c>
      <c r="Q21" s="25"/>
      <c r="T21" s="22" t="s">
        <v>84</v>
      </c>
      <c r="U21" s="23" t="s">
        <v>23</v>
      </c>
      <c r="V21" s="24" t="s">
        <v>130</v>
      </c>
      <c r="W21" s="25"/>
      <c r="Z21" s="22" t="s">
        <v>85</v>
      </c>
      <c r="AA21" s="23" t="s">
        <v>25</v>
      </c>
      <c r="AB21" s="24" t="s">
        <v>130</v>
      </c>
      <c r="AC21" s="25"/>
      <c r="AF21" s="22" t="s">
        <v>108</v>
      </c>
      <c r="AG21" s="23" t="s">
        <v>122</v>
      </c>
      <c r="AH21" s="24" t="s">
        <v>130</v>
      </c>
      <c r="AI21" s="25"/>
    </row>
    <row r="22" spans="2:35" x14ac:dyDescent="0.25">
      <c r="B22" s="26"/>
      <c r="C22" s="18"/>
      <c r="D22" s="16" t="s">
        <v>131</v>
      </c>
      <c r="E22" s="27">
        <v>3</v>
      </c>
      <c r="H22" s="26"/>
      <c r="I22" s="18"/>
      <c r="J22" s="16" t="s">
        <v>131</v>
      </c>
      <c r="K22" s="27"/>
      <c r="N22" s="26"/>
      <c r="O22" s="18"/>
      <c r="P22" s="16" t="s">
        <v>131</v>
      </c>
      <c r="Q22" s="27"/>
      <c r="T22" s="26"/>
      <c r="U22" s="18"/>
      <c r="V22" s="16" t="s">
        <v>131</v>
      </c>
      <c r="W22" s="27"/>
      <c r="Z22" s="26"/>
      <c r="AA22" s="18"/>
      <c r="AB22" s="16" t="s">
        <v>131</v>
      </c>
      <c r="AC22" s="27"/>
      <c r="AF22" s="26"/>
      <c r="AG22" s="18"/>
      <c r="AH22" s="16" t="s">
        <v>131</v>
      </c>
      <c r="AI22" s="27"/>
    </row>
    <row r="23" spans="2:35" x14ac:dyDescent="0.25">
      <c r="B23" s="26"/>
      <c r="C23" s="18"/>
      <c r="D23" s="16" t="s">
        <v>132</v>
      </c>
      <c r="E23" s="27">
        <v>4</v>
      </c>
      <c r="H23" s="26"/>
      <c r="I23" s="18"/>
      <c r="J23" s="16" t="s">
        <v>132</v>
      </c>
      <c r="K23" s="27"/>
      <c r="N23" s="26"/>
      <c r="O23" s="18"/>
      <c r="P23" s="16" t="s">
        <v>132</v>
      </c>
      <c r="Q23" s="27"/>
      <c r="T23" s="26"/>
      <c r="U23" s="18"/>
      <c r="V23" s="16" t="s">
        <v>132</v>
      </c>
      <c r="W23" s="27"/>
      <c r="Z23" s="26"/>
      <c r="AA23" s="18"/>
      <c r="AB23" s="16" t="s">
        <v>132</v>
      </c>
      <c r="AC23" s="27"/>
      <c r="AF23" s="26"/>
      <c r="AG23" s="18"/>
      <c r="AH23" s="16" t="s">
        <v>132</v>
      </c>
      <c r="AI23" s="27"/>
    </row>
    <row r="24" spans="2:35" x14ac:dyDescent="0.25">
      <c r="B24" s="26"/>
      <c r="C24" s="18"/>
      <c r="D24" s="16" t="s">
        <v>133</v>
      </c>
      <c r="E24" s="27">
        <v>5</v>
      </c>
      <c r="H24" s="26"/>
      <c r="I24" s="18"/>
      <c r="J24" s="16" t="s">
        <v>133</v>
      </c>
      <c r="K24" s="27"/>
      <c r="N24" s="26"/>
      <c r="O24" s="18"/>
      <c r="P24" s="16" t="s">
        <v>133</v>
      </c>
      <c r="Q24" s="27"/>
      <c r="T24" s="26"/>
      <c r="U24" s="18"/>
      <c r="V24" s="16" t="s">
        <v>133</v>
      </c>
      <c r="W24" s="27"/>
      <c r="Z24" s="26"/>
      <c r="AA24" s="18"/>
      <c r="AB24" s="16" t="s">
        <v>133</v>
      </c>
      <c r="AC24" s="27"/>
      <c r="AF24" s="26"/>
      <c r="AG24" s="18"/>
      <c r="AH24" s="16" t="s">
        <v>133</v>
      </c>
      <c r="AI24" s="27"/>
    </row>
    <row r="25" spans="2:35" x14ac:dyDescent="0.25">
      <c r="B25" s="26"/>
      <c r="C25" s="18"/>
      <c r="D25" s="16" t="s">
        <v>134</v>
      </c>
      <c r="E25" s="27">
        <v>12.5</v>
      </c>
      <c r="H25" s="26"/>
      <c r="I25" s="18"/>
      <c r="J25" s="16" t="s">
        <v>134</v>
      </c>
      <c r="K25" s="27"/>
      <c r="N25" s="26"/>
      <c r="O25" s="18"/>
      <c r="P25" s="16" t="s">
        <v>134</v>
      </c>
      <c r="Q25" s="27"/>
      <c r="T25" s="26"/>
      <c r="U25" s="18"/>
      <c r="V25" s="16" t="s">
        <v>134</v>
      </c>
      <c r="W25" s="27"/>
      <c r="Z25" s="26"/>
      <c r="AA25" s="18"/>
      <c r="AB25" s="16" t="s">
        <v>134</v>
      </c>
      <c r="AC25" s="27"/>
      <c r="AF25" s="26"/>
      <c r="AG25" s="18"/>
      <c r="AH25" s="16" t="s">
        <v>134</v>
      </c>
      <c r="AI25" s="27"/>
    </row>
    <row r="26" spans="2:35" x14ac:dyDescent="0.25">
      <c r="B26" s="26"/>
      <c r="C26" s="18"/>
      <c r="D26" s="16" t="s">
        <v>135</v>
      </c>
      <c r="E26" s="27">
        <v>12.5</v>
      </c>
      <c r="H26" s="26"/>
      <c r="I26" s="18"/>
      <c r="J26" s="16" t="s">
        <v>135</v>
      </c>
      <c r="K26" s="27"/>
      <c r="N26" s="26"/>
      <c r="O26" s="18"/>
      <c r="P26" s="16" t="s">
        <v>135</v>
      </c>
      <c r="Q26" s="27"/>
      <c r="T26" s="26"/>
      <c r="U26" s="18"/>
      <c r="V26" s="16" t="s">
        <v>135</v>
      </c>
      <c r="W26" s="27"/>
      <c r="Z26" s="26"/>
      <c r="AA26" s="18"/>
      <c r="AB26" s="16" t="s">
        <v>135</v>
      </c>
      <c r="AC26" s="27"/>
      <c r="AF26" s="26"/>
      <c r="AG26" s="18"/>
      <c r="AH26" s="16" t="s">
        <v>135</v>
      </c>
      <c r="AI26" s="27"/>
    </row>
    <row r="27" spans="2:35" x14ac:dyDescent="0.25">
      <c r="B27" s="26"/>
      <c r="C27" s="18"/>
      <c r="D27" s="16" t="s">
        <v>136</v>
      </c>
      <c r="E27" s="27">
        <v>6</v>
      </c>
      <c r="H27" s="26"/>
      <c r="I27" s="18"/>
      <c r="J27" s="16" t="s">
        <v>136</v>
      </c>
      <c r="K27" s="27"/>
      <c r="N27" s="26"/>
      <c r="O27" s="18"/>
      <c r="P27" s="16" t="s">
        <v>136</v>
      </c>
      <c r="Q27" s="27"/>
      <c r="T27" s="26"/>
      <c r="U27" s="18"/>
      <c r="V27" s="16" t="s">
        <v>136</v>
      </c>
      <c r="W27" s="27"/>
      <c r="Z27" s="26"/>
      <c r="AA27" s="18"/>
      <c r="AB27" s="16" t="s">
        <v>136</v>
      </c>
      <c r="AC27" s="27"/>
      <c r="AF27" s="26"/>
      <c r="AG27" s="18"/>
      <c r="AH27" s="16" t="s">
        <v>136</v>
      </c>
      <c r="AI27" s="27"/>
    </row>
    <row r="28" spans="2:35" ht="15.75" thickBot="1" x14ac:dyDescent="0.3">
      <c r="B28" s="28"/>
      <c r="C28" s="29"/>
      <c r="D28" s="30" t="s">
        <v>137</v>
      </c>
      <c r="E28" s="31">
        <v>4.5</v>
      </c>
      <c r="H28" s="28"/>
      <c r="I28" s="29"/>
      <c r="J28" s="30" t="s">
        <v>137</v>
      </c>
      <c r="K28" s="31"/>
      <c r="N28" s="28"/>
      <c r="O28" s="29"/>
      <c r="P28" s="30" t="s">
        <v>137</v>
      </c>
      <c r="Q28" s="31"/>
      <c r="T28" s="28"/>
      <c r="U28" s="29"/>
      <c r="V28" s="30" t="s">
        <v>137</v>
      </c>
      <c r="W28" s="31"/>
      <c r="Z28" s="28"/>
      <c r="AA28" s="29"/>
      <c r="AB28" s="30" t="s">
        <v>137</v>
      </c>
      <c r="AC28" s="31"/>
      <c r="AF28" s="28"/>
      <c r="AG28" s="29"/>
      <c r="AH28" s="30" t="s">
        <v>137</v>
      </c>
      <c r="AI28" s="31"/>
    </row>
    <row r="29" spans="2:35" x14ac:dyDescent="0.25">
      <c r="H29" s="22" t="s">
        <v>107</v>
      </c>
      <c r="I29" s="23" t="s">
        <v>16</v>
      </c>
      <c r="J29" s="24" t="s">
        <v>130</v>
      </c>
      <c r="K29" s="25"/>
      <c r="N29" s="22" t="s">
        <v>82</v>
      </c>
      <c r="O29" s="23" t="s">
        <v>20</v>
      </c>
      <c r="P29" s="24" t="s">
        <v>130</v>
      </c>
      <c r="Q29" s="25"/>
      <c r="Z29" s="22" t="s">
        <v>112</v>
      </c>
      <c r="AA29" s="23" t="s">
        <v>26</v>
      </c>
      <c r="AB29" s="24" t="s">
        <v>130</v>
      </c>
      <c r="AC29" s="25"/>
      <c r="AF29" s="22" t="s">
        <v>109</v>
      </c>
      <c r="AG29" s="23" t="s">
        <v>124</v>
      </c>
      <c r="AH29" s="24" t="s">
        <v>130</v>
      </c>
      <c r="AI29" s="25"/>
    </row>
    <row r="30" spans="2:35" x14ac:dyDescent="0.25">
      <c r="D30" s="43" t="s">
        <v>148</v>
      </c>
      <c r="E30" s="44">
        <f>SUM(E5:E28)</f>
        <v>120</v>
      </c>
      <c r="H30" s="26"/>
      <c r="I30" s="18"/>
      <c r="J30" s="16" t="s">
        <v>131</v>
      </c>
      <c r="K30" s="27"/>
      <c r="N30" s="26"/>
      <c r="O30" s="18"/>
      <c r="P30" s="16" t="s">
        <v>131</v>
      </c>
      <c r="Q30" s="27"/>
      <c r="Z30" s="26"/>
      <c r="AA30" s="18"/>
      <c r="AB30" s="16" t="s">
        <v>131</v>
      </c>
      <c r="AC30" s="27"/>
      <c r="AF30" s="26"/>
      <c r="AG30" s="18"/>
      <c r="AH30" s="16" t="s">
        <v>131</v>
      </c>
      <c r="AI30" s="27"/>
    </row>
    <row r="31" spans="2:35" x14ac:dyDescent="0.25">
      <c r="D31" s="43" t="s">
        <v>147</v>
      </c>
      <c r="E31" s="42">
        <f>E30/12/2</f>
        <v>5</v>
      </c>
      <c r="H31" s="26"/>
      <c r="I31" s="18"/>
      <c r="J31" s="16" t="s">
        <v>132</v>
      </c>
      <c r="K31" s="27"/>
      <c r="N31" s="26"/>
      <c r="O31" s="18"/>
      <c r="P31" s="16" t="s">
        <v>132</v>
      </c>
      <c r="Q31" s="27"/>
      <c r="Z31" s="26"/>
      <c r="AA31" s="18"/>
      <c r="AB31" s="16" t="s">
        <v>132</v>
      </c>
      <c r="AC31" s="27"/>
      <c r="AF31" s="26"/>
      <c r="AG31" s="18"/>
      <c r="AH31" s="16" t="s">
        <v>132</v>
      </c>
      <c r="AI31" s="27"/>
    </row>
    <row r="32" spans="2:35" x14ac:dyDescent="0.25">
      <c r="H32" s="26"/>
      <c r="I32" s="18"/>
      <c r="J32" s="16" t="s">
        <v>133</v>
      </c>
      <c r="K32" s="27"/>
      <c r="N32" s="26"/>
      <c r="O32" s="18"/>
      <c r="P32" s="16" t="s">
        <v>133</v>
      </c>
      <c r="Q32" s="27"/>
      <c r="Z32" s="26"/>
      <c r="AA32" s="18"/>
      <c r="AB32" s="16" t="s">
        <v>133</v>
      </c>
      <c r="AC32" s="27"/>
      <c r="AF32" s="26"/>
      <c r="AG32" s="18"/>
      <c r="AH32" s="16" t="s">
        <v>133</v>
      </c>
      <c r="AI32" s="27"/>
    </row>
    <row r="33" spans="8:35" x14ac:dyDescent="0.25">
      <c r="H33" s="26"/>
      <c r="I33" s="18"/>
      <c r="J33" s="16" t="s">
        <v>134</v>
      </c>
      <c r="K33" s="27"/>
      <c r="N33" s="26"/>
      <c r="O33" s="18"/>
      <c r="P33" s="16" t="s">
        <v>134</v>
      </c>
      <c r="Q33" s="27"/>
      <c r="Z33" s="26"/>
      <c r="AA33" s="18"/>
      <c r="AB33" s="16" t="s">
        <v>134</v>
      </c>
      <c r="AC33" s="27"/>
      <c r="AF33" s="26"/>
      <c r="AG33" s="18"/>
      <c r="AH33" s="16" t="s">
        <v>134</v>
      </c>
      <c r="AI33" s="27"/>
    </row>
    <row r="34" spans="8:35" x14ac:dyDescent="0.25">
      <c r="H34" s="26"/>
      <c r="I34" s="18"/>
      <c r="J34" s="16" t="s">
        <v>135</v>
      </c>
      <c r="K34" s="27"/>
      <c r="N34" s="26"/>
      <c r="O34" s="18"/>
      <c r="P34" s="16" t="s">
        <v>135</v>
      </c>
      <c r="Q34" s="27"/>
      <c r="Z34" s="26"/>
      <c r="AA34" s="18"/>
      <c r="AB34" s="16" t="s">
        <v>135</v>
      </c>
      <c r="AC34" s="27"/>
      <c r="AF34" s="26"/>
      <c r="AG34" s="18"/>
      <c r="AH34" s="16" t="s">
        <v>135</v>
      </c>
      <c r="AI34" s="27"/>
    </row>
    <row r="35" spans="8:35" x14ac:dyDescent="0.25">
      <c r="H35" s="26"/>
      <c r="I35" s="18"/>
      <c r="J35" s="16" t="s">
        <v>136</v>
      </c>
      <c r="K35" s="27"/>
      <c r="N35" s="26"/>
      <c r="O35" s="18"/>
      <c r="P35" s="16" t="s">
        <v>136</v>
      </c>
      <c r="Q35" s="27"/>
      <c r="Z35" s="26"/>
      <c r="AA35" s="18"/>
      <c r="AB35" s="16" t="s">
        <v>136</v>
      </c>
      <c r="AC35" s="27"/>
      <c r="AF35" s="26"/>
      <c r="AG35" s="18"/>
      <c r="AH35" s="16" t="s">
        <v>136</v>
      </c>
      <c r="AI35" s="27"/>
    </row>
    <row r="36" spans="8:35" ht="15.75" thickBot="1" x14ac:dyDescent="0.3">
      <c r="H36" s="28"/>
      <c r="I36" s="29"/>
      <c r="J36" s="30" t="s">
        <v>137</v>
      </c>
      <c r="K36" s="31"/>
      <c r="N36" s="28"/>
      <c r="O36" s="29"/>
      <c r="P36" s="30" t="s">
        <v>137</v>
      </c>
      <c r="Q36" s="31"/>
      <c r="Z36" s="28"/>
      <c r="AA36" s="29"/>
      <c r="AB36" s="30" t="s">
        <v>137</v>
      </c>
      <c r="AC36" s="31"/>
      <c r="AF36" s="28"/>
      <c r="AG36" s="29"/>
      <c r="AH36" s="30" t="s">
        <v>137</v>
      </c>
      <c r="AI36" s="31"/>
    </row>
    <row r="37" spans="8:35" x14ac:dyDescent="0.25">
      <c r="H37" s="22" t="s">
        <v>104</v>
      </c>
      <c r="I37" s="23" t="s">
        <v>14</v>
      </c>
      <c r="J37" s="24" t="s">
        <v>130</v>
      </c>
      <c r="K37" s="25"/>
      <c r="N37" s="22" t="s">
        <v>79</v>
      </c>
      <c r="O37" s="23" t="s">
        <v>21</v>
      </c>
      <c r="P37" s="24" t="s">
        <v>130</v>
      </c>
      <c r="Q37" s="25"/>
      <c r="Z37" s="22" t="s">
        <v>113</v>
      </c>
      <c r="AA37" s="23" t="s">
        <v>27</v>
      </c>
      <c r="AB37" s="24" t="s">
        <v>130</v>
      </c>
      <c r="AC37" s="25"/>
      <c r="AF37" s="22" t="s">
        <v>102</v>
      </c>
      <c r="AG37" s="23" t="s">
        <v>28</v>
      </c>
      <c r="AH37" s="24" t="s">
        <v>130</v>
      </c>
      <c r="AI37" s="25"/>
    </row>
    <row r="38" spans="8:35" x14ac:dyDescent="0.25">
      <c r="H38" s="26"/>
      <c r="I38" s="18"/>
      <c r="J38" s="16" t="s">
        <v>131</v>
      </c>
      <c r="K38" s="27"/>
      <c r="N38" s="26"/>
      <c r="O38" s="18"/>
      <c r="P38" s="16" t="s">
        <v>131</v>
      </c>
      <c r="Q38" s="27"/>
      <c r="Z38" s="26"/>
      <c r="AA38" s="18"/>
      <c r="AB38" s="16" t="s">
        <v>131</v>
      </c>
      <c r="AC38" s="27"/>
      <c r="AF38" s="26"/>
      <c r="AG38" s="18"/>
      <c r="AH38" s="16" t="s">
        <v>131</v>
      </c>
      <c r="AI38" s="27"/>
    </row>
    <row r="39" spans="8:35" x14ac:dyDescent="0.25">
      <c r="H39" s="26"/>
      <c r="I39" s="18"/>
      <c r="J39" s="16" t="s">
        <v>132</v>
      </c>
      <c r="K39" s="27"/>
      <c r="N39" s="26"/>
      <c r="O39" s="18"/>
      <c r="P39" s="16" t="s">
        <v>132</v>
      </c>
      <c r="Q39" s="27"/>
      <c r="Z39" s="26"/>
      <c r="AA39" s="18"/>
      <c r="AB39" s="16" t="s">
        <v>132</v>
      </c>
      <c r="AC39" s="27"/>
      <c r="AF39" s="26"/>
      <c r="AG39" s="18"/>
      <c r="AH39" s="16" t="s">
        <v>132</v>
      </c>
      <c r="AI39" s="27"/>
    </row>
    <row r="40" spans="8:35" x14ac:dyDescent="0.25">
      <c r="H40" s="26"/>
      <c r="I40" s="18"/>
      <c r="J40" s="16" t="s">
        <v>133</v>
      </c>
      <c r="K40" s="27"/>
      <c r="N40" s="26"/>
      <c r="O40" s="18"/>
      <c r="P40" s="16" t="s">
        <v>133</v>
      </c>
      <c r="Q40" s="27"/>
      <c r="Z40" s="26"/>
      <c r="AA40" s="18"/>
      <c r="AB40" s="16" t="s">
        <v>133</v>
      </c>
      <c r="AC40" s="27"/>
      <c r="AF40" s="26"/>
      <c r="AG40" s="18"/>
      <c r="AH40" s="16" t="s">
        <v>133</v>
      </c>
      <c r="AI40" s="27"/>
    </row>
    <row r="41" spans="8:35" x14ac:dyDescent="0.25">
      <c r="H41" s="26"/>
      <c r="I41" s="18"/>
      <c r="J41" s="16" t="s">
        <v>134</v>
      </c>
      <c r="K41" s="27"/>
      <c r="N41" s="26"/>
      <c r="O41" s="18"/>
      <c r="P41" s="16" t="s">
        <v>134</v>
      </c>
      <c r="Q41" s="27"/>
      <c r="Z41" s="26"/>
      <c r="AA41" s="18"/>
      <c r="AB41" s="16" t="s">
        <v>134</v>
      </c>
      <c r="AC41" s="27"/>
      <c r="AF41" s="26"/>
      <c r="AG41" s="18"/>
      <c r="AH41" s="16" t="s">
        <v>134</v>
      </c>
      <c r="AI41" s="27"/>
    </row>
    <row r="42" spans="8:35" x14ac:dyDescent="0.25">
      <c r="H42" s="26"/>
      <c r="I42" s="18"/>
      <c r="J42" s="16" t="s">
        <v>135</v>
      </c>
      <c r="K42" s="27"/>
      <c r="N42" s="26"/>
      <c r="O42" s="18"/>
      <c r="P42" s="16" t="s">
        <v>135</v>
      </c>
      <c r="Q42" s="27"/>
      <c r="Z42" s="26"/>
      <c r="AA42" s="18"/>
      <c r="AB42" s="16" t="s">
        <v>135</v>
      </c>
      <c r="AC42" s="27"/>
      <c r="AF42" s="26"/>
      <c r="AG42" s="18"/>
      <c r="AH42" s="16" t="s">
        <v>135</v>
      </c>
      <c r="AI42" s="27"/>
    </row>
    <row r="43" spans="8:35" x14ac:dyDescent="0.25">
      <c r="H43" s="26"/>
      <c r="I43" s="18"/>
      <c r="J43" s="16" t="s">
        <v>136</v>
      </c>
      <c r="K43" s="27"/>
      <c r="N43" s="26"/>
      <c r="O43" s="18"/>
      <c r="P43" s="16" t="s">
        <v>136</v>
      </c>
      <c r="Q43" s="27"/>
      <c r="Z43" s="26"/>
      <c r="AA43" s="18"/>
      <c r="AB43" s="16" t="s">
        <v>136</v>
      </c>
      <c r="AC43" s="27"/>
      <c r="AF43" s="26"/>
      <c r="AG43" s="18"/>
      <c r="AH43" s="16" t="s">
        <v>136</v>
      </c>
      <c r="AI43" s="27"/>
    </row>
    <row r="44" spans="8:35" ht="15.75" thickBot="1" x14ac:dyDescent="0.3">
      <c r="H44" s="28"/>
      <c r="I44" s="29"/>
      <c r="J44" s="30" t="s">
        <v>137</v>
      </c>
      <c r="K44" s="31"/>
      <c r="N44" s="28"/>
      <c r="O44" s="29"/>
      <c r="P44" s="30" t="s">
        <v>137</v>
      </c>
      <c r="Q44" s="31"/>
      <c r="Z44" s="28"/>
      <c r="AA44" s="29"/>
      <c r="AB44" s="30" t="s">
        <v>137</v>
      </c>
      <c r="AC44" s="31"/>
      <c r="AF44" s="28"/>
      <c r="AG44" s="29"/>
      <c r="AH44" s="30" t="s">
        <v>137</v>
      </c>
      <c r="AI44" s="31"/>
    </row>
    <row r="45" spans="8:35" x14ac:dyDescent="0.25">
      <c r="H45" s="22" t="s">
        <v>103</v>
      </c>
      <c r="I45" s="23" t="s">
        <v>114</v>
      </c>
      <c r="J45" s="24" t="s">
        <v>130</v>
      </c>
      <c r="K45" s="25"/>
      <c r="N45" s="22" t="s">
        <v>78</v>
      </c>
      <c r="O45" s="23" t="s">
        <v>22</v>
      </c>
      <c r="P45" s="24" t="s">
        <v>130</v>
      </c>
      <c r="Q45" s="25"/>
      <c r="Z45" s="22" t="s">
        <v>109</v>
      </c>
      <c r="AA45" s="23" t="s">
        <v>30</v>
      </c>
      <c r="AB45" s="24" t="s">
        <v>130</v>
      </c>
      <c r="AC45" s="25"/>
      <c r="AF45" s="22" t="s">
        <v>108</v>
      </c>
      <c r="AG45" s="23" t="s">
        <v>31</v>
      </c>
      <c r="AH45" s="24" t="s">
        <v>130</v>
      </c>
      <c r="AI45" s="25"/>
    </row>
    <row r="46" spans="8:35" x14ac:dyDescent="0.25">
      <c r="H46" s="26"/>
      <c r="I46" s="18"/>
      <c r="J46" s="16" t="s">
        <v>131</v>
      </c>
      <c r="K46" s="27"/>
      <c r="N46" s="26"/>
      <c r="O46" s="18"/>
      <c r="P46" s="16" t="s">
        <v>131</v>
      </c>
      <c r="Q46" s="27"/>
      <c r="Z46" s="26"/>
      <c r="AA46" s="18"/>
      <c r="AB46" s="16" t="s">
        <v>131</v>
      </c>
      <c r="AC46" s="27"/>
      <c r="AF46" s="26"/>
      <c r="AG46" s="18"/>
      <c r="AH46" s="16" t="s">
        <v>131</v>
      </c>
      <c r="AI46" s="27"/>
    </row>
    <row r="47" spans="8:35" x14ac:dyDescent="0.25">
      <c r="H47" s="26"/>
      <c r="I47" s="18"/>
      <c r="J47" s="16" t="s">
        <v>132</v>
      </c>
      <c r="K47" s="27"/>
      <c r="N47" s="26"/>
      <c r="O47" s="18"/>
      <c r="P47" s="16" t="s">
        <v>132</v>
      </c>
      <c r="Q47" s="27"/>
      <c r="Z47" s="26"/>
      <c r="AA47" s="18"/>
      <c r="AB47" s="16" t="s">
        <v>132</v>
      </c>
      <c r="AC47" s="27"/>
      <c r="AF47" s="26"/>
      <c r="AG47" s="18"/>
      <c r="AH47" s="16" t="s">
        <v>132</v>
      </c>
      <c r="AI47" s="27"/>
    </row>
    <row r="48" spans="8:35" x14ac:dyDescent="0.25">
      <c r="H48" s="26"/>
      <c r="I48" s="18"/>
      <c r="J48" s="16" t="s">
        <v>133</v>
      </c>
      <c r="K48" s="27"/>
      <c r="N48" s="26"/>
      <c r="O48" s="18"/>
      <c r="P48" s="16" t="s">
        <v>133</v>
      </c>
      <c r="Q48" s="27"/>
      <c r="Z48" s="26"/>
      <c r="AA48" s="18"/>
      <c r="AB48" s="16" t="s">
        <v>133</v>
      </c>
      <c r="AC48" s="27"/>
      <c r="AF48" s="26"/>
      <c r="AG48" s="18"/>
      <c r="AH48" s="16" t="s">
        <v>133</v>
      </c>
      <c r="AI48" s="27"/>
    </row>
    <row r="49" spans="8:35" x14ac:dyDescent="0.25">
      <c r="H49" s="26"/>
      <c r="I49" s="18"/>
      <c r="J49" s="16" t="s">
        <v>134</v>
      </c>
      <c r="K49" s="27"/>
      <c r="N49" s="26"/>
      <c r="O49" s="18"/>
      <c r="P49" s="16" t="s">
        <v>134</v>
      </c>
      <c r="Q49" s="27"/>
      <c r="Z49" s="26"/>
      <c r="AA49" s="18"/>
      <c r="AB49" s="16" t="s">
        <v>134</v>
      </c>
      <c r="AC49" s="27"/>
      <c r="AF49" s="26"/>
      <c r="AG49" s="18"/>
      <c r="AH49" s="16" t="s">
        <v>134</v>
      </c>
      <c r="AI49" s="27"/>
    </row>
    <row r="50" spans="8:35" x14ac:dyDescent="0.25">
      <c r="H50" s="26"/>
      <c r="I50" s="18"/>
      <c r="J50" s="16" t="s">
        <v>135</v>
      </c>
      <c r="K50" s="27"/>
      <c r="N50" s="26"/>
      <c r="O50" s="18"/>
      <c r="P50" s="16" t="s">
        <v>135</v>
      </c>
      <c r="Q50" s="27"/>
      <c r="Z50" s="26"/>
      <c r="AA50" s="18"/>
      <c r="AB50" s="16" t="s">
        <v>135</v>
      </c>
      <c r="AC50" s="27"/>
      <c r="AF50" s="26"/>
      <c r="AG50" s="18"/>
      <c r="AH50" s="16" t="s">
        <v>135</v>
      </c>
      <c r="AI50" s="27"/>
    </row>
    <row r="51" spans="8:35" x14ac:dyDescent="0.25">
      <c r="H51" s="26"/>
      <c r="I51" s="18"/>
      <c r="J51" s="16" t="s">
        <v>136</v>
      </c>
      <c r="K51" s="27"/>
      <c r="N51" s="26"/>
      <c r="O51" s="18"/>
      <c r="P51" s="16" t="s">
        <v>136</v>
      </c>
      <c r="Q51" s="27"/>
      <c r="Z51" s="26"/>
      <c r="AA51" s="18"/>
      <c r="AB51" s="16" t="s">
        <v>136</v>
      </c>
      <c r="AC51" s="27"/>
      <c r="AF51" s="26"/>
      <c r="AG51" s="18"/>
      <c r="AH51" s="16" t="s">
        <v>136</v>
      </c>
      <c r="AI51" s="27"/>
    </row>
    <row r="52" spans="8:35" ht="15.75" thickBot="1" x14ac:dyDescent="0.3">
      <c r="H52" s="28"/>
      <c r="I52" s="29"/>
      <c r="J52" s="30" t="s">
        <v>137</v>
      </c>
      <c r="K52" s="31"/>
      <c r="N52" s="28"/>
      <c r="O52" s="29"/>
      <c r="P52" s="30" t="s">
        <v>137</v>
      </c>
      <c r="Q52" s="31"/>
      <c r="Z52" s="28"/>
      <c r="AA52" s="29"/>
      <c r="AB52" s="30" t="s">
        <v>137</v>
      </c>
      <c r="AC52" s="31"/>
      <c r="AF52" s="28"/>
      <c r="AG52" s="29"/>
      <c r="AH52" s="30" t="s">
        <v>137</v>
      </c>
      <c r="AI52" s="31"/>
    </row>
    <row r="53" spans="8:35" x14ac:dyDescent="0.25">
      <c r="N53" s="22" t="s">
        <v>93</v>
      </c>
      <c r="O53" s="23" t="s">
        <v>18</v>
      </c>
      <c r="P53" s="24" t="s">
        <v>130</v>
      </c>
      <c r="Q53" s="25"/>
      <c r="Z53" s="22" t="s">
        <v>107</v>
      </c>
      <c r="AA53" s="23" t="s">
        <v>123</v>
      </c>
      <c r="AB53" s="24" t="s">
        <v>130</v>
      </c>
      <c r="AC53" s="25"/>
      <c r="AF53" s="22" t="s">
        <v>110</v>
      </c>
      <c r="AG53" s="23" t="s">
        <v>32</v>
      </c>
      <c r="AH53" s="24" t="s">
        <v>130</v>
      </c>
      <c r="AI53" s="25"/>
    </row>
    <row r="54" spans="8:35" x14ac:dyDescent="0.25">
      <c r="N54" s="26"/>
      <c r="O54" s="18"/>
      <c r="P54" s="16" t="s">
        <v>131</v>
      </c>
      <c r="Q54" s="27"/>
      <c r="Z54" s="26"/>
      <c r="AA54" s="18"/>
      <c r="AB54" s="16" t="s">
        <v>131</v>
      </c>
      <c r="AC54" s="27"/>
      <c r="AF54" s="26"/>
      <c r="AG54" s="18"/>
      <c r="AH54" s="16" t="s">
        <v>131</v>
      </c>
      <c r="AI54" s="27"/>
    </row>
    <row r="55" spans="8:35" x14ac:dyDescent="0.25">
      <c r="N55" s="26"/>
      <c r="O55" s="18"/>
      <c r="P55" s="16" t="s">
        <v>132</v>
      </c>
      <c r="Q55" s="27"/>
      <c r="Z55" s="26"/>
      <c r="AA55" s="18"/>
      <c r="AB55" s="16" t="s">
        <v>132</v>
      </c>
      <c r="AC55" s="27"/>
      <c r="AF55" s="26"/>
      <c r="AG55" s="18"/>
      <c r="AH55" s="16" t="s">
        <v>132</v>
      </c>
      <c r="AI55" s="27"/>
    </row>
    <row r="56" spans="8:35" x14ac:dyDescent="0.25">
      <c r="N56" s="26"/>
      <c r="O56" s="18"/>
      <c r="P56" s="16" t="s">
        <v>133</v>
      </c>
      <c r="Q56" s="27"/>
      <c r="Z56" s="26"/>
      <c r="AA56" s="18"/>
      <c r="AB56" s="16" t="s">
        <v>133</v>
      </c>
      <c r="AC56" s="27"/>
      <c r="AF56" s="26"/>
      <c r="AG56" s="18"/>
      <c r="AH56" s="16" t="s">
        <v>133</v>
      </c>
      <c r="AI56" s="27"/>
    </row>
    <row r="57" spans="8:35" x14ac:dyDescent="0.25">
      <c r="N57" s="26"/>
      <c r="O57" s="18"/>
      <c r="P57" s="16" t="s">
        <v>134</v>
      </c>
      <c r="Q57" s="27"/>
      <c r="Z57" s="26"/>
      <c r="AA57" s="18"/>
      <c r="AB57" s="16" t="s">
        <v>134</v>
      </c>
      <c r="AC57" s="27"/>
      <c r="AF57" s="26"/>
      <c r="AG57" s="18"/>
      <c r="AH57" s="16" t="s">
        <v>134</v>
      </c>
      <c r="AI57" s="27"/>
    </row>
    <row r="58" spans="8:35" x14ac:dyDescent="0.25">
      <c r="N58" s="26"/>
      <c r="O58" s="18"/>
      <c r="P58" s="16" t="s">
        <v>135</v>
      </c>
      <c r="Q58" s="27"/>
      <c r="Z58" s="26"/>
      <c r="AA58" s="18"/>
      <c r="AB58" s="16" t="s">
        <v>135</v>
      </c>
      <c r="AC58" s="27"/>
      <c r="AF58" s="26"/>
      <c r="AG58" s="18"/>
      <c r="AH58" s="16" t="s">
        <v>135</v>
      </c>
      <c r="AI58" s="27"/>
    </row>
    <row r="59" spans="8:35" x14ac:dyDescent="0.25">
      <c r="N59" s="26"/>
      <c r="O59" s="18"/>
      <c r="P59" s="16" t="s">
        <v>136</v>
      </c>
      <c r="Q59" s="27"/>
      <c r="Z59" s="26"/>
      <c r="AA59" s="18"/>
      <c r="AB59" s="16" t="s">
        <v>136</v>
      </c>
      <c r="AC59" s="27"/>
      <c r="AF59" s="26"/>
      <c r="AG59" s="18"/>
      <c r="AH59" s="16" t="s">
        <v>136</v>
      </c>
      <c r="AI59" s="27"/>
    </row>
    <row r="60" spans="8:35" ht="15.75" thickBot="1" x14ac:dyDescent="0.3">
      <c r="N60" s="28"/>
      <c r="O60" s="29"/>
      <c r="P60" s="30" t="s">
        <v>137</v>
      </c>
      <c r="Q60" s="31"/>
      <c r="Z60" s="28"/>
      <c r="AA60" s="29"/>
      <c r="AB60" s="30" t="s">
        <v>137</v>
      </c>
      <c r="AC60" s="31"/>
      <c r="AF60" s="28"/>
      <c r="AG60" s="29"/>
      <c r="AH60" s="30" t="s">
        <v>137</v>
      </c>
      <c r="AI60" s="31"/>
    </row>
    <row r="61" spans="8:35" x14ac:dyDescent="0.25">
      <c r="Z61" s="15"/>
      <c r="AA61" s="15"/>
      <c r="AC61" s="1"/>
      <c r="AF61" s="22" t="s">
        <v>89</v>
      </c>
      <c r="AG61" s="23" t="s">
        <v>34</v>
      </c>
      <c r="AH61" s="24" t="s">
        <v>130</v>
      </c>
      <c r="AI61" s="25"/>
    </row>
    <row r="62" spans="8:35" x14ac:dyDescent="0.25">
      <c r="AF62" s="26"/>
      <c r="AG62" s="18"/>
      <c r="AH62" s="16" t="s">
        <v>131</v>
      </c>
      <c r="AI62" s="27"/>
    </row>
    <row r="63" spans="8:35" x14ac:dyDescent="0.25">
      <c r="AF63" s="26"/>
      <c r="AG63" s="18"/>
      <c r="AH63" s="16" t="s">
        <v>132</v>
      </c>
      <c r="AI63" s="27"/>
    </row>
    <row r="64" spans="8:35" x14ac:dyDescent="0.25">
      <c r="AF64" s="26"/>
      <c r="AG64" s="18"/>
      <c r="AH64" s="16" t="s">
        <v>133</v>
      </c>
      <c r="AI64" s="27"/>
    </row>
    <row r="65" spans="32:35" x14ac:dyDescent="0.25">
      <c r="AF65" s="26"/>
      <c r="AG65" s="18"/>
      <c r="AH65" s="16" t="s">
        <v>134</v>
      </c>
      <c r="AI65" s="27"/>
    </row>
    <row r="66" spans="32:35" x14ac:dyDescent="0.25">
      <c r="AF66" s="26"/>
      <c r="AG66" s="18"/>
      <c r="AH66" s="16" t="s">
        <v>135</v>
      </c>
      <c r="AI66" s="27"/>
    </row>
    <row r="67" spans="32:35" x14ac:dyDescent="0.25">
      <c r="AF67" s="26"/>
      <c r="AG67" s="18"/>
      <c r="AH67" s="16" t="s">
        <v>136</v>
      </c>
      <c r="AI67" s="27"/>
    </row>
    <row r="68" spans="32:35" ht="15.75" thickBot="1" x14ac:dyDescent="0.3">
      <c r="AF68" s="28"/>
      <c r="AG68" s="29"/>
      <c r="AH68" s="30" t="s">
        <v>137</v>
      </c>
      <c r="AI68" s="31"/>
    </row>
    <row r="69" spans="32:35" x14ac:dyDescent="0.25">
      <c r="AF69" s="22" t="s">
        <v>101</v>
      </c>
      <c r="AG69" s="23" t="s">
        <v>35</v>
      </c>
      <c r="AH69" s="24" t="s">
        <v>130</v>
      </c>
      <c r="AI69" s="25"/>
    </row>
    <row r="70" spans="32:35" x14ac:dyDescent="0.25">
      <c r="AF70" s="26"/>
      <c r="AG70" s="18"/>
      <c r="AH70" s="16" t="s">
        <v>131</v>
      </c>
      <c r="AI70" s="27"/>
    </row>
    <row r="71" spans="32:35" x14ac:dyDescent="0.25">
      <c r="AF71" s="26"/>
      <c r="AG71" s="18"/>
      <c r="AH71" s="16" t="s">
        <v>132</v>
      </c>
      <c r="AI71" s="27"/>
    </row>
    <row r="72" spans="32:35" x14ac:dyDescent="0.25">
      <c r="AF72" s="26"/>
      <c r="AG72" s="18"/>
      <c r="AH72" s="16" t="s">
        <v>133</v>
      </c>
      <c r="AI72" s="27"/>
    </row>
    <row r="73" spans="32:35" x14ac:dyDescent="0.25">
      <c r="AF73" s="26"/>
      <c r="AG73" s="18"/>
      <c r="AH73" s="16" t="s">
        <v>134</v>
      </c>
      <c r="AI73" s="27"/>
    </row>
    <row r="74" spans="32:35" x14ac:dyDescent="0.25">
      <c r="AF74" s="26"/>
      <c r="AG74" s="18"/>
      <c r="AH74" s="16" t="s">
        <v>135</v>
      </c>
      <c r="AI74" s="27"/>
    </row>
    <row r="75" spans="32:35" x14ac:dyDescent="0.25">
      <c r="AF75" s="26"/>
      <c r="AG75" s="18"/>
      <c r="AH75" s="16" t="s">
        <v>136</v>
      </c>
      <c r="AI75" s="27"/>
    </row>
    <row r="76" spans="32:35" ht="15.75" thickBot="1" x14ac:dyDescent="0.3">
      <c r="AF76" s="28"/>
      <c r="AG76" s="29"/>
      <c r="AH76" s="30" t="s">
        <v>137</v>
      </c>
      <c r="AI76" s="31"/>
    </row>
    <row r="77" spans="32:35" x14ac:dyDescent="0.25">
      <c r="AF77" s="22" t="s">
        <v>92</v>
      </c>
      <c r="AG77" s="23" t="s">
        <v>36</v>
      </c>
      <c r="AH77" s="24" t="s">
        <v>130</v>
      </c>
      <c r="AI77" s="25"/>
    </row>
    <row r="78" spans="32:35" x14ac:dyDescent="0.25">
      <c r="AF78" s="26"/>
      <c r="AG78" s="18"/>
      <c r="AH78" s="16" t="s">
        <v>131</v>
      </c>
      <c r="AI78" s="27"/>
    </row>
    <row r="79" spans="32:35" x14ac:dyDescent="0.25">
      <c r="AF79" s="26"/>
      <c r="AG79" s="18"/>
      <c r="AH79" s="16" t="s">
        <v>132</v>
      </c>
      <c r="AI79" s="27"/>
    </row>
    <row r="80" spans="32:35" x14ac:dyDescent="0.25">
      <c r="AF80" s="26"/>
      <c r="AG80" s="18"/>
      <c r="AH80" s="16" t="s">
        <v>133</v>
      </c>
      <c r="AI80" s="27"/>
    </row>
    <row r="81" spans="32:35" x14ac:dyDescent="0.25">
      <c r="AF81" s="26"/>
      <c r="AG81" s="18"/>
      <c r="AH81" s="16" t="s">
        <v>134</v>
      </c>
      <c r="AI81" s="27"/>
    </row>
    <row r="82" spans="32:35" x14ac:dyDescent="0.25">
      <c r="AF82" s="26"/>
      <c r="AG82" s="18"/>
      <c r="AH82" s="16" t="s">
        <v>135</v>
      </c>
      <c r="AI82" s="27"/>
    </row>
    <row r="83" spans="32:35" x14ac:dyDescent="0.25">
      <c r="AF83" s="26"/>
      <c r="AG83" s="18"/>
      <c r="AH83" s="16" t="s">
        <v>136</v>
      </c>
      <c r="AI83" s="27"/>
    </row>
    <row r="84" spans="32:35" ht="15.75" thickBot="1" x14ac:dyDescent="0.3">
      <c r="AF84" s="28"/>
      <c r="AG84" s="29"/>
      <c r="AH84" s="30" t="s">
        <v>137</v>
      </c>
      <c r="AI84" s="31"/>
    </row>
    <row r="85" spans="32:35" x14ac:dyDescent="0.25">
      <c r="AF85" s="22" t="s">
        <v>91</v>
      </c>
      <c r="AG85" s="23" t="s">
        <v>37</v>
      </c>
      <c r="AH85" s="24" t="s">
        <v>130</v>
      </c>
      <c r="AI85" s="25"/>
    </row>
    <row r="86" spans="32:35" x14ac:dyDescent="0.25">
      <c r="AF86" s="26"/>
      <c r="AG86" s="18"/>
      <c r="AH86" s="16" t="s">
        <v>131</v>
      </c>
      <c r="AI86" s="27"/>
    </row>
    <row r="87" spans="32:35" x14ac:dyDescent="0.25">
      <c r="AF87" s="26"/>
      <c r="AG87" s="18"/>
      <c r="AH87" s="16" t="s">
        <v>132</v>
      </c>
      <c r="AI87" s="27"/>
    </row>
    <row r="88" spans="32:35" x14ac:dyDescent="0.25">
      <c r="AF88" s="26"/>
      <c r="AG88" s="18"/>
      <c r="AH88" s="16" t="s">
        <v>133</v>
      </c>
      <c r="AI88" s="27"/>
    </row>
    <row r="89" spans="32:35" x14ac:dyDescent="0.25">
      <c r="AF89" s="26"/>
      <c r="AG89" s="18"/>
      <c r="AH89" s="16" t="s">
        <v>134</v>
      </c>
      <c r="AI89" s="27"/>
    </row>
    <row r="90" spans="32:35" x14ac:dyDescent="0.25">
      <c r="AF90" s="26"/>
      <c r="AG90" s="18"/>
      <c r="AH90" s="16" t="s">
        <v>135</v>
      </c>
      <c r="AI90" s="27"/>
    </row>
    <row r="91" spans="32:35" x14ac:dyDescent="0.25">
      <c r="AF91" s="26"/>
      <c r="AG91" s="18"/>
      <c r="AH91" s="16" t="s">
        <v>136</v>
      </c>
      <c r="AI91" s="27"/>
    </row>
    <row r="92" spans="32:35" ht="15.75" thickBot="1" x14ac:dyDescent="0.3">
      <c r="AF92" s="28"/>
      <c r="AG92" s="29"/>
      <c r="AH92" s="30" t="s">
        <v>137</v>
      </c>
      <c r="AI92" s="31"/>
    </row>
    <row r="93" spans="32:35" x14ac:dyDescent="0.25">
      <c r="AF93" s="22" t="s">
        <v>98</v>
      </c>
      <c r="AG93" s="23" t="s">
        <v>38</v>
      </c>
      <c r="AH93" s="24" t="s">
        <v>130</v>
      </c>
      <c r="AI93" s="25"/>
    </row>
    <row r="94" spans="32:35" x14ac:dyDescent="0.25">
      <c r="AF94" s="26"/>
      <c r="AG94" s="18"/>
      <c r="AH94" s="16" t="s">
        <v>131</v>
      </c>
      <c r="AI94" s="27"/>
    </row>
    <row r="95" spans="32:35" x14ac:dyDescent="0.25">
      <c r="AF95" s="26"/>
      <c r="AG95" s="18"/>
      <c r="AH95" s="16" t="s">
        <v>132</v>
      </c>
      <c r="AI95" s="27"/>
    </row>
    <row r="96" spans="32:35" x14ac:dyDescent="0.25">
      <c r="AF96" s="26"/>
      <c r="AG96" s="18"/>
      <c r="AH96" s="16" t="s">
        <v>133</v>
      </c>
      <c r="AI96" s="27"/>
    </row>
    <row r="97" spans="32:35" x14ac:dyDescent="0.25">
      <c r="AF97" s="26"/>
      <c r="AG97" s="18"/>
      <c r="AH97" s="16" t="s">
        <v>134</v>
      </c>
      <c r="AI97" s="27"/>
    </row>
    <row r="98" spans="32:35" x14ac:dyDescent="0.25">
      <c r="AF98" s="26"/>
      <c r="AG98" s="18"/>
      <c r="AH98" s="16" t="s">
        <v>135</v>
      </c>
      <c r="AI98" s="27"/>
    </row>
    <row r="99" spans="32:35" x14ac:dyDescent="0.25">
      <c r="AF99" s="26"/>
      <c r="AG99" s="18"/>
      <c r="AH99" s="16" t="s">
        <v>136</v>
      </c>
      <c r="AI99" s="27"/>
    </row>
    <row r="100" spans="32:35" ht="15.75" thickBot="1" x14ac:dyDescent="0.3">
      <c r="AF100" s="28"/>
      <c r="AG100" s="29"/>
      <c r="AH100" s="30" t="s">
        <v>137</v>
      </c>
      <c r="AI100" s="31"/>
    </row>
    <row r="101" spans="32:35" x14ac:dyDescent="0.25">
      <c r="AF101" s="22" t="s">
        <v>116</v>
      </c>
      <c r="AG101" s="23" t="s">
        <v>39</v>
      </c>
      <c r="AH101" s="24" t="s">
        <v>130</v>
      </c>
      <c r="AI101" s="25"/>
    </row>
    <row r="102" spans="32:35" x14ac:dyDescent="0.25">
      <c r="AF102" s="26"/>
      <c r="AG102" s="18"/>
      <c r="AH102" s="16" t="s">
        <v>131</v>
      </c>
      <c r="AI102" s="27"/>
    </row>
    <row r="103" spans="32:35" x14ac:dyDescent="0.25">
      <c r="AF103" s="26"/>
      <c r="AG103" s="18"/>
      <c r="AH103" s="16" t="s">
        <v>132</v>
      </c>
      <c r="AI103" s="27"/>
    </row>
    <row r="104" spans="32:35" x14ac:dyDescent="0.25">
      <c r="AF104" s="26"/>
      <c r="AG104" s="18"/>
      <c r="AH104" s="16" t="s">
        <v>133</v>
      </c>
      <c r="AI104" s="27"/>
    </row>
    <row r="105" spans="32:35" x14ac:dyDescent="0.25">
      <c r="AF105" s="26"/>
      <c r="AG105" s="18"/>
      <c r="AH105" s="16" t="s">
        <v>134</v>
      </c>
      <c r="AI105" s="27"/>
    </row>
    <row r="106" spans="32:35" x14ac:dyDescent="0.25">
      <c r="AF106" s="26"/>
      <c r="AG106" s="18"/>
      <c r="AH106" s="16" t="s">
        <v>135</v>
      </c>
      <c r="AI106" s="27"/>
    </row>
    <row r="107" spans="32:35" x14ac:dyDescent="0.25">
      <c r="AF107" s="26"/>
      <c r="AG107" s="18"/>
      <c r="AH107" s="16" t="s">
        <v>136</v>
      </c>
      <c r="AI107" s="27"/>
    </row>
    <row r="108" spans="32:35" ht="15.75" thickBot="1" x14ac:dyDescent="0.3">
      <c r="AF108" s="28"/>
      <c r="AG108" s="29"/>
      <c r="AH108" s="30" t="s">
        <v>137</v>
      </c>
      <c r="AI108" s="31"/>
    </row>
  </sheetData>
  <mergeCells count="78">
    <mergeCell ref="AG53:AG60"/>
    <mergeCell ref="AF53:AF60"/>
    <mergeCell ref="AG37:AG44"/>
    <mergeCell ref="AF37:AF44"/>
    <mergeCell ref="AF45:AF52"/>
    <mergeCell ref="AG45:AG52"/>
    <mergeCell ref="AG77:AG84"/>
    <mergeCell ref="AF77:AF84"/>
    <mergeCell ref="AG69:AG76"/>
    <mergeCell ref="AF69:AF76"/>
    <mergeCell ref="AG61:AG68"/>
    <mergeCell ref="AF61:AF68"/>
    <mergeCell ref="AG101:AG108"/>
    <mergeCell ref="AF101:AF108"/>
    <mergeCell ref="AF93:AF100"/>
    <mergeCell ref="AG93:AG100"/>
    <mergeCell ref="AG85:AG92"/>
    <mergeCell ref="AF85:AF92"/>
    <mergeCell ref="AG13:AG20"/>
    <mergeCell ref="AF13:AF20"/>
    <mergeCell ref="AF21:AF28"/>
    <mergeCell ref="AG21:AG28"/>
    <mergeCell ref="AG29:AG36"/>
    <mergeCell ref="AF29:AF36"/>
    <mergeCell ref="Z45:Z52"/>
    <mergeCell ref="AA45:AA52"/>
    <mergeCell ref="AA53:AA60"/>
    <mergeCell ref="Z53:Z60"/>
    <mergeCell ref="AF5:AF12"/>
    <mergeCell ref="AG5:AG12"/>
    <mergeCell ref="Z21:Z28"/>
    <mergeCell ref="AA21:AA28"/>
    <mergeCell ref="Z29:Z36"/>
    <mergeCell ref="AA29:AA36"/>
    <mergeCell ref="Z37:Z44"/>
    <mergeCell ref="AA37:AA44"/>
    <mergeCell ref="T21:T28"/>
    <mergeCell ref="U21:U28"/>
    <mergeCell ref="AA5:AA12"/>
    <mergeCell ref="Z5:Z12"/>
    <mergeCell ref="Z13:Z20"/>
    <mergeCell ref="AA13:AA20"/>
    <mergeCell ref="O53:O60"/>
    <mergeCell ref="N53:N60"/>
    <mergeCell ref="T5:T12"/>
    <mergeCell ref="U5:U12"/>
    <mergeCell ref="U13:U20"/>
    <mergeCell ref="T13:T20"/>
    <mergeCell ref="O29:O36"/>
    <mergeCell ref="O37:O44"/>
    <mergeCell ref="N37:N44"/>
    <mergeCell ref="N29:N36"/>
    <mergeCell ref="N45:N52"/>
    <mergeCell ref="O45:O52"/>
    <mergeCell ref="N5:N12"/>
    <mergeCell ref="O5:O12"/>
    <mergeCell ref="O13:O20"/>
    <mergeCell ref="N13:N20"/>
    <mergeCell ref="N21:N28"/>
    <mergeCell ref="O21:O28"/>
    <mergeCell ref="I29:I36"/>
    <mergeCell ref="H29:H36"/>
    <mergeCell ref="H37:H44"/>
    <mergeCell ref="I37:I44"/>
    <mergeCell ref="I45:I52"/>
    <mergeCell ref="H45:H52"/>
    <mergeCell ref="I5:I12"/>
    <mergeCell ref="H5:H12"/>
    <mergeCell ref="H13:H20"/>
    <mergeCell ref="I13:I20"/>
    <mergeCell ref="H21:H28"/>
    <mergeCell ref="I21:I28"/>
    <mergeCell ref="C5:C12"/>
    <mergeCell ref="C13:C20"/>
    <mergeCell ref="B5:B12"/>
    <mergeCell ref="B13:B20"/>
    <mergeCell ref="B21:B28"/>
    <mergeCell ref="C21:C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 Backlog</vt:lpstr>
      <vt:lpstr>Sprint 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laghouanemsofien</dc:creator>
  <cp:lastModifiedBy>KAYTO _01</cp:lastModifiedBy>
  <dcterms:created xsi:type="dcterms:W3CDTF">2025-02-11T10:59:38Z</dcterms:created>
  <dcterms:modified xsi:type="dcterms:W3CDTF">2025-02-13T16:11:55Z</dcterms:modified>
</cp:coreProperties>
</file>