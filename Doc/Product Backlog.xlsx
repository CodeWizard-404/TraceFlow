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yto\Desktop\IT\Projects\Stage\Stage PFE\Visit_Management\Doc\"/>
    </mc:Choice>
  </mc:AlternateContent>
  <xr:revisionPtr revIDLastSave="0" documentId="13_ncr:1_{746E608D-6009-40C1-917E-FA1C8BD3A0AB}" xr6:coauthVersionLast="47" xr6:coauthVersionMax="47" xr10:uidLastSave="{00000000-0000-0000-0000-000000000000}"/>
  <bookViews>
    <workbookView xWindow="-120" yWindow="-120" windowWidth="29040" windowHeight="17520" xr2:uid="{47B1803A-116E-467D-AB76-53B1EF3841AE}"/>
  </bookViews>
  <sheets>
    <sheet name="Product Backlog" sheetId="2" r:id="rId1"/>
    <sheet name="Sprint Backlog" sheetId="4" r:id="rId2"/>
  </sheets>
  <definedNames>
    <definedName name="_xlnm._FilterDatabase" localSheetId="0" hidden="1">'Product Backlog'!$A$2:$F$2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4" l="1"/>
  <c r="F29" i="4" s="1"/>
  <c r="J4" i="2"/>
  <c r="J6" i="2" s="1"/>
  <c r="J3" i="2"/>
  <c r="J7" i="2" l="1"/>
</calcChain>
</file>

<file path=xl/sharedStrings.xml><?xml version="1.0" encoding="utf-8"?>
<sst xmlns="http://schemas.openxmlformats.org/spreadsheetml/2006/main" count="594" uniqueCount="147">
  <si>
    <t>ID</t>
  </si>
  <si>
    <t>US</t>
  </si>
  <si>
    <t>BV</t>
  </si>
  <si>
    <t>Priority</t>
  </si>
  <si>
    <t>Effort</t>
  </si>
  <si>
    <t>As a Supervisor, I want to log visits manually so that I can record visit details when a QR code is unavailable.</t>
  </si>
  <si>
    <t>High</t>
  </si>
  <si>
    <t>As a Supervisor, I want to log visits using a QR code scanner so that I can quickly and accurately record visit details.</t>
  </si>
  <si>
    <t>As a Supervisor, I want to validate checklists for each visit so that all required tasks are completed.</t>
  </si>
  <si>
    <t>As a Supervisor, I want to create new timesheets so that I can manage my weekly schedule.</t>
  </si>
  <si>
    <t>As a Manager, I want to view and validate timesheets so that accuracy is maintained.</t>
  </si>
  <si>
    <t>As a Manager, I want to generate dynamic reports filtered by date range so that specific periods can be analyzed.</t>
  </si>
  <si>
    <t>As a Manager, I want to view KPI dashboards with charts and graphs so that key performance indicators can be visualized.</t>
  </si>
  <si>
    <t>As an AI Model, I want to analyze timesheet and visit data to detect irregularities so that potential issues can be flagged.</t>
  </si>
  <si>
    <t>As a User, I want to securely log in using my credentials so that I can access the platform.</t>
  </si>
  <si>
    <t>Medium</t>
  </si>
  <si>
    <t>As an Admin, I want to create new user accounts so that users can access the platform.</t>
  </si>
  <si>
    <t>As a Supervisor, I want to receive real-time notifications for visits so that I know what to do.</t>
  </si>
  <si>
    <t>As a Supervisor, I want to enter data offline so that I can continue working without internet connectivity.</t>
  </si>
  <si>
    <t>As a Manager, I want to generate dynamic reports filtered by supervisor so that individual performance can be assessed.</t>
  </si>
  <si>
    <t>As a Manager, I want to generate dynamic reports filtered by region so that regional performance can be evaluated.</t>
  </si>
  <si>
    <t>As a Manager, I want to export reports in PDF format so that they can be shared easily.</t>
  </si>
  <si>
    <t>As a Manager, I want to export reports in Excel format so that further analysis can be performed.</t>
  </si>
  <si>
    <t>As a Manager, I want to receive anomaly alerts in dashboards so that issues can be addressed promptly.</t>
  </si>
  <si>
    <t>As a Manager, I want to receive real-time notifications for pending validations so that I can take necessary actions.</t>
  </si>
  <si>
    <t>As a Manager, I want to receive real-time notifications for detected anomalies so that timely interventions can occur.</t>
  </si>
  <si>
    <t>As an AI Model, I want to generate automated reports using predictive analytics so that comprehensive insights can be provided.</t>
  </si>
  <si>
    <t>As an AI Model, I want to send real-time alerts based on findings so that relevant users can act immediately.</t>
  </si>
  <si>
    <t>As a User, I want to edit my own profile information so that my details are accurate.</t>
  </si>
  <si>
    <t>Low</t>
  </si>
  <si>
    <t>As an Admin, I want to modify existing user accounts so that user information remains up-to-date.</t>
  </si>
  <si>
    <t>As an Admin, I want to delete user accounts so that inactive or unnecessary accounts can be removed.</t>
  </si>
  <si>
    <t>As an Admin, I want to revoke roles from users so that permissions can be adjusted as needed.</t>
  </si>
  <si>
    <t>As a Supervisor, I want to upload photos related to the visit so that visual documentation is available.</t>
  </si>
  <si>
    <t>As a Supervisor, I want to add comments to visit logs so that additional context can be provided.</t>
  </si>
  <si>
    <t>As a Supervisor, I want to view past visit logs so that I can review historical data.</t>
  </si>
  <si>
    <t>As a Supervisor, I want to edit past visit logs so that corrections can be made.</t>
  </si>
  <si>
    <t>As a Supervisor, I want to delete visit logs so that incorrect entries can be removed.</t>
  </si>
  <si>
    <t>As a Supervisor, I want to update existing timesheets so that changes can be reflected.</t>
  </si>
  <si>
    <t>As an HR, I want to review timesheets so that employee attendance and performance can be monitored.</t>
  </si>
  <si>
    <t>Description</t>
  </si>
  <si>
    <t>Manual visit logging</t>
  </si>
  <si>
    <t>QR code-based visit logging</t>
  </si>
  <si>
    <t>Create timesheets</t>
  </si>
  <si>
    <t>Validate timesheets</t>
  </si>
  <si>
    <t>Generate date-range filtered reports</t>
  </si>
  <si>
    <t>Visualize KPI dashboards</t>
  </si>
  <si>
    <t>Detect anomalies in data</t>
  </si>
  <si>
    <t>Secure login</t>
  </si>
  <si>
    <t>Create user accounts</t>
  </si>
  <si>
    <t>Assign user roles</t>
  </si>
  <si>
    <t>Real-time visit notifications</t>
  </si>
  <si>
    <t>Offline data entry</t>
  </si>
  <si>
    <t>Generate supervisor-filtered reports</t>
  </si>
  <si>
    <t>Generate region-filtered reports</t>
  </si>
  <si>
    <t>Export reports as PDF</t>
  </si>
  <si>
    <t>Export reports as Excel</t>
  </si>
  <si>
    <t>Anomaly alerts in dashboards</t>
  </si>
  <si>
    <t>Real-time pending validation notifications</t>
  </si>
  <si>
    <t>Real-time anomaly notifications</t>
  </si>
  <si>
    <t>Predictive analytics for reports</t>
  </si>
  <si>
    <t>Real-time AI-based alerts</t>
  </si>
  <si>
    <t>Edit user profile</t>
  </si>
  <si>
    <t>Modify user accounts</t>
  </si>
  <si>
    <t>Delete user accounts</t>
  </si>
  <si>
    <t>Revoke user roles</t>
  </si>
  <si>
    <t>Upload visit photos</t>
  </si>
  <si>
    <t>Add comments to visit logs</t>
  </si>
  <si>
    <t>View past visit logs</t>
  </si>
  <si>
    <t>Edit past visit logs</t>
  </si>
  <si>
    <t>Delete visit logs</t>
  </si>
  <si>
    <t>Update timesheets</t>
  </si>
  <si>
    <t>Review timesheets</t>
  </si>
  <si>
    <t>Velocity</t>
  </si>
  <si>
    <t>Sprints</t>
  </si>
  <si>
    <t>Sprint Weeks</t>
  </si>
  <si>
    <t>Project Weeks</t>
  </si>
  <si>
    <t>Sprint Efforts</t>
  </si>
  <si>
    <t>US1</t>
  </si>
  <si>
    <t>US2</t>
  </si>
  <si>
    <t>Checklist validation</t>
  </si>
  <si>
    <t>US3</t>
  </si>
  <si>
    <t>US4</t>
  </si>
  <si>
    <t>US5</t>
  </si>
  <si>
    <t>US6</t>
  </si>
  <si>
    <t>US7</t>
  </si>
  <si>
    <t>US8</t>
  </si>
  <si>
    <t>US9</t>
  </si>
  <si>
    <t>US10</t>
  </si>
  <si>
    <t>US11</t>
  </si>
  <si>
    <t>US12</t>
  </si>
  <si>
    <t>US13</t>
  </si>
  <si>
    <t>US14</t>
  </si>
  <si>
    <t>US15</t>
  </si>
  <si>
    <t>US16</t>
  </si>
  <si>
    <t>US17</t>
  </si>
  <si>
    <t>US18</t>
  </si>
  <si>
    <t>US19</t>
  </si>
  <si>
    <t>US20</t>
  </si>
  <si>
    <t>US21</t>
  </si>
  <si>
    <t>US22</t>
  </si>
  <si>
    <t>US23</t>
  </si>
  <si>
    <t>US24</t>
  </si>
  <si>
    <t>US25</t>
  </si>
  <si>
    <t>US26</t>
  </si>
  <si>
    <t>US27</t>
  </si>
  <si>
    <t>US28</t>
  </si>
  <si>
    <t>US29</t>
  </si>
  <si>
    <t>US30</t>
  </si>
  <si>
    <t>US31</t>
  </si>
  <si>
    <t>US32</t>
  </si>
  <si>
    <t>US33</t>
  </si>
  <si>
    <t>US34</t>
  </si>
  <si>
    <t>US35</t>
  </si>
  <si>
    <t>As a User, I want to reset my password if I forget it so that I can regain access to the platform.</t>
  </si>
  <si>
    <t>Password recovery</t>
  </si>
  <si>
    <t>US36</t>
  </si>
  <si>
    <t>As a Supervisor, I want to receive push notifications on my mobile device so that I stay informed about important updates.</t>
  </si>
  <si>
    <t>Push notifications</t>
  </si>
  <si>
    <t>As a Super Admin, I want to assign roles to users so that they have appropriate permissions.</t>
  </si>
  <si>
    <t>As a Super Admin, I want to revoke roles of users so that they have appropriate permissions.</t>
  </si>
  <si>
    <t>Rovoke user roles</t>
  </si>
  <si>
    <t>As a Super Admin, I want to delete roles of users so that they have appropriate permissions.</t>
  </si>
  <si>
    <t>As a Super Admin, I want to create roles of users so that they have appropriate permissions.</t>
  </si>
  <si>
    <t>As a Super Admin, I want to edit roles of users so that they have appropriate permissions.</t>
  </si>
  <si>
    <t>Create user roles</t>
  </si>
  <si>
    <t>Delete user roles</t>
  </si>
  <si>
    <t>Edit user roles</t>
  </si>
  <si>
    <t>Start Date</t>
  </si>
  <si>
    <t>End Date</t>
  </si>
  <si>
    <t>T1: Définition des Besoins</t>
  </si>
  <si>
    <t>T2: Maquettes d’interfaces</t>
  </si>
  <si>
    <t>T3: Analyse des besoins</t>
  </si>
  <si>
    <t>T4: Conception de solution</t>
  </si>
  <si>
    <t>T5: Implémentation du Backend</t>
  </si>
  <si>
    <t>T6: Implémentation du Frontend</t>
  </si>
  <si>
    <t>T7: Test d’intégration</t>
  </si>
  <si>
    <t>T8: Documentation</t>
  </si>
  <si>
    <t>Sprint 2 Backlog</t>
  </si>
  <si>
    <t>US ID</t>
  </si>
  <si>
    <t>Tasks</t>
  </si>
  <si>
    <t>Estimated Time</t>
  </si>
  <si>
    <t>Sprint 3 Backlog</t>
  </si>
  <si>
    <t>Sprint 4 Backlog</t>
  </si>
  <si>
    <t>Sprint 5 Backlog</t>
  </si>
  <si>
    <t>Sprint 6 Backlog</t>
  </si>
  <si>
    <t>Sprint 1 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</si>
</sst>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;@"/>
  </numFmts>
  <fonts count="4" x14ac:knownFonts="1">
    <font>
      <sz val="11"/>
      <color theme="1"/>
      <name val="Aptos Narrow"/>
      <family val="2"/>
      <scheme val="minor"/>
    </font>
    <font>
      <sz val="9.6"/>
      <color theme="1"/>
      <name val="Arial"/>
      <family val="2"/>
    </font>
    <font>
      <sz val="9.6"/>
      <color theme="1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2" borderId="2" xfId="0" applyFill="1" applyBorder="1" applyAlignment="1">
      <alignment horizontal="center"/>
    </xf>
    <xf numFmtId="0" fontId="0" fillId="2" borderId="2" xfId="0" applyFill="1" applyBorder="1"/>
    <xf numFmtId="0" fontId="0" fillId="2" borderId="2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/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/>
    <xf numFmtId="0" fontId="1" fillId="0" borderId="2" xfId="0" applyFont="1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4293EC2-4C67-4581-97BA-48195CEF82E3}">
  <we:reference id="0986d9dd-94f1-4b67-978d-c4cf6e6142a8" version="21.5.1.1" store="EXCatalog" storeType="EXCatalog"/>
  <we:alternateReferences>
    <we:reference id="WA200000018" version="21.5.1.1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PsiVary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PsiSixSigma</we:customFunctionIds>
        <we:customFunctionIds>PsiTSSync</we:customFunctionIds>
        <we:customFunctionIds>PsiConvergence</we:customFunctionIds>
        <we:customFunctionIds>PsiIsDate</we:customFunctionIds>
        <we:customFunctionIds>PsiIsDiscrete</we:customFunctionIds>
        <we:customFunctionIds>PsiLibrary</we:customFunctionIds>
        <we:customFunctionIds>PsiFitInfo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PsiCalcParam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PsiFatigueLifeAlt</we:customFunctionIds>
        <we:customFunctionIds>PsiFrechetAlt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PsiBoxIterator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  <we:customFunctionIds>PsiModelDesc</we:customFunctionIds>
        <we:customFunctionIds>PsiCorrectCorrmat</we:customFunctionIds>
        <we:customFunctionIds>PsiStatic</we:customFunctionIds>
        <we:customFunctionIds>PsiMakeInput</we:customFunctionIds>
        <we:customFunctionIds>PsiSimulationInfo</we:customFunctionIds>
        <we:customFunctionIds>PsiConverged</we:customFunctionIds>
        <we:customFunctionIds>PsiDistInfo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67ADB-C6C5-4254-AAD7-3296496ECAD6}">
  <dimension ref="A2:L41"/>
  <sheetViews>
    <sheetView tabSelected="1" topLeftCell="A8" zoomScale="115" zoomScaleNormal="115" workbookViewId="0">
      <selection activeCell="I22" sqref="I22"/>
    </sheetView>
  </sheetViews>
  <sheetFormatPr defaultRowHeight="15" customHeight="1" x14ac:dyDescent="0.25"/>
  <cols>
    <col min="1" max="1" width="5.42578125" customWidth="1"/>
    <col min="2" max="2" width="104.42578125" customWidth="1"/>
    <col min="3" max="3" width="33.7109375" customWidth="1"/>
    <col min="5" max="5" width="7.28515625" style="1" bestFit="1" customWidth="1"/>
    <col min="6" max="6" width="7.7109375" style="1" customWidth="1"/>
    <col min="7" max="7" width="6.140625" style="1" customWidth="1"/>
    <col min="8" max="8" width="8.28515625" customWidth="1"/>
    <col min="9" max="9" width="21.7109375" customWidth="1"/>
    <col min="10" max="10" width="7.28515625" bestFit="1" customWidth="1"/>
  </cols>
  <sheetData>
    <row r="2" spans="1:12" ht="15" customHeight="1" thickBot="1" x14ac:dyDescent="0.3">
      <c r="A2" s="5" t="s">
        <v>0</v>
      </c>
      <c r="B2" s="6" t="s">
        <v>1</v>
      </c>
      <c r="C2" s="6" t="s">
        <v>40</v>
      </c>
      <c r="D2" s="5" t="s">
        <v>2</v>
      </c>
      <c r="E2" s="7" t="s">
        <v>3</v>
      </c>
      <c r="F2" s="7" t="s">
        <v>4</v>
      </c>
      <c r="G2" s="7" t="s">
        <v>74</v>
      </c>
    </row>
    <row r="3" spans="1:12" ht="15" customHeight="1" thickBot="1" x14ac:dyDescent="0.3">
      <c r="A3" s="13" t="s">
        <v>94</v>
      </c>
      <c r="B3" s="13" t="s">
        <v>5</v>
      </c>
      <c r="C3" s="23" t="s">
        <v>41</v>
      </c>
      <c r="D3" s="13" t="s">
        <v>6</v>
      </c>
      <c r="E3" s="14">
        <v>1</v>
      </c>
      <c r="F3" s="15">
        <v>21</v>
      </c>
      <c r="G3" s="24">
        <v>1</v>
      </c>
      <c r="I3" s="7" t="s">
        <v>73</v>
      </c>
      <c r="J3" s="2">
        <f>SUM(F3:F41)</f>
        <v>190</v>
      </c>
      <c r="L3" s="5" t="s">
        <v>2</v>
      </c>
    </row>
    <row r="4" spans="1:12" ht="15" customHeight="1" thickBot="1" x14ac:dyDescent="0.3">
      <c r="A4" s="13" t="s">
        <v>100</v>
      </c>
      <c r="B4" s="13" t="s">
        <v>8</v>
      </c>
      <c r="C4" s="23" t="s">
        <v>80</v>
      </c>
      <c r="D4" s="13" t="s">
        <v>6</v>
      </c>
      <c r="E4" s="14">
        <v>2</v>
      </c>
      <c r="F4" s="16">
        <v>3</v>
      </c>
      <c r="G4" s="24"/>
      <c r="I4" s="10" t="s">
        <v>76</v>
      </c>
      <c r="J4" s="8">
        <f>ROUNDDOWN((J10-J9)/7,0)</f>
        <v>12</v>
      </c>
      <c r="L4" s="4" t="s">
        <v>6</v>
      </c>
    </row>
    <row r="5" spans="1:12" ht="15" customHeight="1" thickBot="1" x14ac:dyDescent="0.3">
      <c r="A5" s="13" t="s">
        <v>90</v>
      </c>
      <c r="B5" s="13" t="s">
        <v>9</v>
      </c>
      <c r="C5" s="23" t="s">
        <v>43</v>
      </c>
      <c r="D5" s="13" t="s">
        <v>6</v>
      </c>
      <c r="E5" s="14">
        <v>3</v>
      </c>
      <c r="F5" s="17">
        <v>8</v>
      </c>
      <c r="G5" s="24"/>
      <c r="I5" s="9" t="s">
        <v>75</v>
      </c>
      <c r="J5" s="2">
        <v>2</v>
      </c>
      <c r="L5" s="4" t="s">
        <v>15</v>
      </c>
    </row>
    <row r="6" spans="1:12" ht="15" customHeight="1" thickBot="1" x14ac:dyDescent="0.3">
      <c r="A6" s="13" t="s">
        <v>87</v>
      </c>
      <c r="B6" s="13" t="s">
        <v>10</v>
      </c>
      <c r="C6" s="13" t="s">
        <v>44</v>
      </c>
      <c r="D6" s="13" t="s">
        <v>6</v>
      </c>
      <c r="E6" s="14">
        <v>4</v>
      </c>
      <c r="F6" s="15">
        <v>3</v>
      </c>
      <c r="G6" s="24">
        <v>2</v>
      </c>
      <c r="I6" s="12" t="s">
        <v>74</v>
      </c>
      <c r="J6" s="11">
        <f>J4/J5</f>
        <v>6</v>
      </c>
      <c r="L6" s="4" t="s">
        <v>29</v>
      </c>
    </row>
    <row r="7" spans="1:12" ht="15" customHeight="1" thickBot="1" x14ac:dyDescent="0.3">
      <c r="A7" s="13" t="s">
        <v>81</v>
      </c>
      <c r="B7" s="13" t="s">
        <v>11</v>
      </c>
      <c r="C7" s="13" t="s">
        <v>45</v>
      </c>
      <c r="D7" s="13" t="s">
        <v>6</v>
      </c>
      <c r="E7" s="14">
        <v>5</v>
      </c>
      <c r="F7" s="16">
        <v>8</v>
      </c>
      <c r="G7" s="24"/>
      <c r="I7" s="9" t="s">
        <v>77</v>
      </c>
      <c r="J7" s="3">
        <f>J3/J6</f>
        <v>31.666666666666668</v>
      </c>
    </row>
    <row r="8" spans="1:12" ht="15" customHeight="1" x14ac:dyDescent="0.25">
      <c r="A8" s="13" t="s">
        <v>88</v>
      </c>
      <c r="B8" s="13" t="s">
        <v>12</v>
      </c>
      <c r="C8" s="13" t="s">
        <v>46</v>
      </c>
      <c r="D8" s="13" t="s">
        <v>6</v>
      </c>
      <c r="E8" s="14">
        <v>6</v>
      </c>
      <c r="F8" s="16">
        <v>5</v>
      </c>
      <c r="G8" s="24"/>
    </row>
    <row r="9" spans="1:12" ht="15" customHeight="1" x14ac:dyDescent="0.25">
      <c r="A9" s="13" t="s">
        <v>107</v>
      </c>
      <c r="B9" s="13" t="s">
        <v>16</v>
      </c>
      <c r="C9" s="13" t="s">
        <v>49</v>
      </c>
      <c r="D9" s="13" t="s">
        <v>6</v>
      </c>
      <c r="E9" s="14">
        <v>7</v>
      </c>
      <c r="F9" s="16">
        <v>5</v>
      </c>
      <c r="G9" s="24"/>
      <c r="I9" s="7" t="s">
        <v>128</v>
      </c>
      <c r="J9" s="19">
        <v>45704</v>
      </c>
    </row>
    <row r="10" spans="1:12" ht="15" customHeight="1" x14ac:dyDescent="0.25">
      <c r="A10" s="13" t="s">
        <v>104</v>
      </c>
      <c r="B10" s="13" t="s">
        <v>14</v>
      </c>
      <c r="C10" s="13" t="s">
        <v>48</v>
      </c>
      <c r="D10" s="13" t="s">
        <v>6</v>
      </c>
      <c r="E10" s="14">
        <v>8</v>
      </c>
      <c r="F10" s="16">
        <v>8</v>
      </c>
      <c r="G10" s="24"/>
      <c r="I10" s="7" t="s">
        <v>129</v>
      </c>
      <c r="J10" s="19">
        <v>45794</v>
      </c>
    </row>
    <row r="11" spans="1:12" ht="15" customHeight="1" x14ac:dyDescent="0.25">
      <c r="A11" s="13" t="s">
        <v>103</v>
      </c>
      <c r="B11" s="13" t="s">
        <v>114</v>
      </c>
      <c r="C11" s="13" t="s">
        <v>115</v>
      </c>
      <c r="D11" s="13" t="s">
        <v>6</v>
      </c>
      <c r="E11" s="14">
        <v>9</v>
      </c>
      <c r="F11" s="17">
        <v>3</v>
      </c>
      <c r="G11" s="24"/>
    </row>
    <row r="12" spans="1:12" ht="15" customHeight="1" x14ac:dyDescent="0.25">
      <c r="A12" s="13" t="s">
        <v>99</v>
      </c>
      <c r="B12" s="13" t="s">
        <v>33</v>
      </c>
      <c r="C12" s="13" t="s">
        <v>66</v>
      </c>
      <c r="D12" s="13" t="s">
        <v>6</v>
      </c>
      <c r="E12" s="14">
        <v>10</v>
      </c>
      <c r="F12" s="16">
        <v>5</v>
      </c>
      <c r="G12" s="24">
        <v>3</v>
      </c>
    </row>
    <row r="13" spans="1:12" ht="15" customHeight="1" x14ac:dyDescent="0.25">
      <c r="A13" s="13" t="s">
        <v>95</v>
      </c>
      <c r="B13" s="13" t="s">
        <v>7</v>
      </c>
      <c r="C13" s="13" t="s">
        <v>42</v>
      </c>
      <c r="D13" s="13" t="s">
        <v>6</v>
      </c>
      <c r="E13" s="14">
        <v>11</v>
      </c>
      <c r="F13" s="16">
        <v>5</v>
      </c>
      <c r="G13" s="24"/>
    </row>
    <row r="14" spans="1:12" ht="15" customHeight="1" x14ac:dyDescent="0.25">
      <c r="A14" s="13" t="s">
        <v>83</v>
      </c>
      <c r="B14" s="13" t="s">
        <v>19</v>
      </c>
      <c r="C14" s="13" t="s">
        <v>53</v>
      </c>
      <c r="D14" s="13" t="s">
        <v>15</v>
      </c>
      <c r="E14" s="14">
        <v>12</v>
      </c>
      <c r="F14" s="16">
        <v>3</v>
      </c>
      <c r="G14" s="24"/>
    </row>
    <row r="15" spans="1:12" ht="15" customHeight="1" x14ac:dyDescent="0.25">
      <c r="A15" s="13" t="s">
        <v>82</v>
      </c>
      <c r="B15" s="13" t="s">
        <v>20</v>
      </c>
      <c r="C15" s="13" t="s">
        <v>54</v>
      </c>
      <c r="D15" s="13" t="s">
        <v>15</v>
      </c>
      <c r="E15" s="14">
        <v>13</v>
      </c>
      <c r="F15" s="16">
        <v>3</v>
      </c>
      <c r="G15" s="24"/>
    </row>
    <row r="16" spans="1:12" ht="15" customHeight="1" x14ac:dyDescent="0.25">
      <c r="A16" s="13" t="s">
        <v>79</v>
      </c>
      <c r="B16" s="13" t="s">
        <v>21</v>
      </c>
      <c r="C16" s="13" t="s">
        <v>55</v>
      </c>
      <c r="D16" s="13" t="s">
        <v>15</v>
      </c>
      <c r="E16" s="14">
        <v>14</v>
      </c>
      <c r="F16" s="16">
        <v>3</v>
      </c>
      <c r="G16" s="24"/>
    </row>
    <row r="17" spans="1:7" ht="15" customHeight="1" x14ac:dyDescent="0.25">
      <c r="A17" s="13" t="s">
        <v>78</v>
      </c>
      <c r="B17" s="13" t="s">
        <v>22</v>
      </c>
      <c r="C17" s="13" t="s">
        <v>56</v>
      </c>
      <c r="D17" s="13" t="s">
        <v>15</v>
      </c>
      <c r="E17" s="14">
        <v>15</v>
      </c>
      <c r="F17" s="16">
        <v>5</v>
      </c>
      <c r="G17" s="24"/>
    </row>
    <row r="18" spans="1:7" ht="15" customHeight="1" x14ac:dyDescent="0.25">
      <c r="A18" s="13" t="s">
        <v>93</v>
      </c>
      <c r="B18" s="13" t="s">
        <v>18</v>
      </c>
      <c r="C18" s="13" t="s">
        <v>52</v>
      </c>
      <c r="D18" s="13" t="s">
        <v>15</v>
      </c>
      <c r="E18" s="14">
        <v>16</v>
      </c>
      <c r="F18" s="17">
        <v>8</v>
      </c>
      <c r="G18" s="24"/>
    </row>
    <row r="19" spans="1:7" ht="15" customHeight="1" x14ac:dyDescent="0.25">
      <c r="A19" s="13" t="s">
        <v>86</v>
      </c>
      <c r="B19" s="13" t="s">
        <v>24</v>
      </c>
      <c r="C19" s="13" t="s">
        <v>58</v>
      </c>
      <c r="D19" s="13" t="s">
        <v>15</v>
      </c>
      <c r="E19" s="14">
        <v>17</v>
      </c>
      <c r="F19" s="15">
        <v>5</v>
      </c>
      <c r="G19" s="24">
        <v>4</v>
      </c>
    </row>
    <row r="20" spans="1:7" ht="15" customHeight="1" x14ac:dyDescent="0.25">
      <c r="A20" s="13" t="s">
        <v>111</v>
      </c>
      <c r="B20" s="13" t="s">
        <v>13</v>
      </c>
      <c r="C20" s="13" t="s">
        <v>47</v>
      </c>
      <c r="D20" s="13" t="s">
        <v>15</v>
      </c>
      <c r="E20" s="14">
        <v>18</v>
      </c>
      <c r="F20" s="16">
        <v>21</v>
      </c>
      <c r="G20" s="24"/>
    </row>
    <row r="21" spans="1:7" ht="15" customHeight="1" x14ac:dyDescent="0.25">
      <c r="A21" s="13" t="s">
        <v>84</v>
      </c>
      <c r="B21" s="13" t="s">
        <v>23</v>
      </c>
      <c r="C21" s="13" t="s">
        <v>57</v>
      </c>
      <c r="D21" s="13" t="s">
        <v>15</v>
      </c>
      <c r="E21" s="14">
        <v>19</v>
      </c>
      <c r="F21" s="17">
        <v>5</v>
      </c>
      <c r="G21" s="24"/>
    </row>
    <row r="22" spans="1:7" ht="15" customHeight="1" x14ac:dyDescent="0.25">
      <c r="A22" s="13" t="s">
        <v>97</v>
      </c>
      <c r="B22" s="13" t="s">
        <v>17</v>
      </c>
      <c r="C22" s="13" t="s">
        <v>51</v>
      </c>
      <c r="D22" s="13" t="s">
        <v>15</v>
      </c>
      <c r="E22" s="14">
        <v>20</v>
      </c>
      <c r="F22" s="15">
        <v>5</v>
      </c>
      <c r="G22" s="24">
        <v>5</v>
      </c>
    </row>
    <row r="23" spans="1:7" ht="15" customHeight="1" x14ac:dyDescent="0.25">
      <c r="A23" s="13" t="s">
        <v>96</v>
      </c>
      <c r="B23" s="13" t="s">
        <v>117</v>
      </c>
      <c r="C23" s="13" t="s">
        <v>118</v>
      </c>
      <c r="D23" s="13" t="s">
        <v>15</v>
      </c>
      <c r="E23" s="14">
        <v>21</v>
      </c>
      <c r="F23" s="16">
        <v>3</v>
      </c>
      <c r="G23" s="24"/>
    </row>
    <row r="24" spans="1:7" ht="15" customHeight="1" x14ac:dyDescent="0.25">
      <c r="A24" s="13" t="s">
        <v>85</v>
      </c>
      <c r="B24" s="13" t="s">
        <v>25</v>
      </c>
      <c r="C24" s="13" t="s">
        <v>59</v>
      </c>
      <c r="D24" s="13" t="s">
        <v>15</v>
      </c>
      <c r="E24" s="14">
        <v>22</v>
      </c>
      <c r="F24" s="16">
        <v>5</v>
      </c>
      <c r="G24" s="24"/>
    </row>
    <row r="25" spans="1:7" ht="15" customHeight="1" x14ac:dyDescent="0.25">
      <c r="A25" s="13" t="s">
        <v>112</v>
      </c>
      <c r="B25" s="13" t="s">
        <v>26</v>
      </c>
      <c r="C25" s="13" t="s">
        <v>60</v>
      </c>
      <c r="D25" s="13" t="s">
        <v>15</v>
      </c>
      <c r="E25" s="14">
        <v>23</v>
      </c>
      <c r="F25" s="16">
        <v>8</v>
      </c>
      <c r="G25" s="24"/>
    </row>
    <row r="26" spans="1:7" ht="15" customHeight="1" x14ac:dyDescent="0.25">
      <c r="A26" s="13" t="s">
        <v>113</v>
      </c>
      <c r="B26" s="13" t="s">
        <v>27</v>
      </c>
      <c r="C26" s="13" t="s">
        <v>61</v>
      </c>
      <c r="D26" s="13" t="s">
        <v>15</v>
      </c>
      <c r="E26" s="14">
        <v>24</v>
      </c>
      <c r="F26" s="16">
        <v>5</v>
      </c>
      <c r="G26" s="24"/>
    </row>
    <row r="27" spans="1:7" ht="15" customHeight="1" x14ac:dyDescent="0.25">
      <c r="A27" s="13" t="s">
        <v>109</v>
      </c>
      <c r="B27" s="13" t="s">
        <v>30</v>
      </c>
      <c r="C27" s="13" t="s">
        <v>63</v>
      </c>
      <c r="D27" s="13" t="s">
        <v>29</v>
      </c>
      <c r="E27" s="14">
        <v>25</v>
      </c>
      <c r="F27" s="16">
        <v>3</v>
      </c>
      <c r="G27" s="24"/>
    </row>
    <row r="28" spans="1:7" ht="15" customHeight="1" x14ac:dyDescent="0.25">
      <c r="A28" s="13" t="s">
        <v>107</v>
      </c>
      <c r="B28" s="13" t="s">
        <v>123</v>
      </c>
      <c r="C28" s="13" t="s">
        <v>125</v>
      </c>
      <c r="D28" s="13" t="s">
        <v>29</v>
      </c>
      <c r="E28" s="14">
        <v>26</v>
      </c>
      <c r="F28" s="17">
        <v>3</v>
      </c>
      <c r="G28" s="24"/>
    </row>
    <row r="29" spans="1:7" ht="15" customHeight="1" x14ac:dyDescent="0.25">
      <c r="A29" s="13" t="s">
        <v>105</v>
      </c>
      <c r="B29" s="13" t="s">
        <v>119</v>
      </c>
      <c r="C29" s="13" t="s">
        <v>50</v>
      </c>
      <c r="D29" s="13" t="s">
        <v>29</v>
      </c>
      <c r="E29" s="14">
        <v>27</v>
      </c>
      <c r="F29" s="15">
        <v>3</v>
      </c>
      <c r="G29" s="24">
        <v>6</v>
      </c>
    </row>
    <row r="30" spans="1:7" ht="15" customHeight="1" x14ac:dyDescent="0.25">
      <c r="A30" s="13" t="s">
        <v>106</v>
      </c>
      <c r="B30" s="13" t="s">
        <v>120</v>
      </c>
      <c r="C30" s="13" t="s">
        <v>121</v>
      </c>
      <c r="D30" s="13" t="s">
        <v>29</v>
      </c>
      <c r="E30" s="14">
        <v>28</v>
      </c>
      <c r="F30" s="16">
        <v>1</v>
      </c>
      <c r="G30" s="24"/>
    </row>
    <row r="31" spans="1:7" ht="15" customHeight="1" x14ac:dyDescent="0.25">
      <c r="A31" s="13" t="s">
        <v>108</v>
      </c>
      <c r="B31" s="13" t="s">
        <v>122</v>
      </c>
      <c r="C31" s="13" t="s">
        <v>126</v>
      </c>
      <c r="D31" s="13" t="s">
        <v>29</v>
      </c>
      <c r="E31" s="14">
        <v>29</v>
      </c>
      <c r="F31" s="16">
        <v>1</v>
      </c>
      <c r="G31" s="24"/>
    </row>
    <row r="32" spans="1:7" ht="15" customHeight="1" x14ac:dyDescent="0.25">
      <c r="A32" s="13" t="s">
        <v>109</v>
      </c>
      <c r="B32" s="13" t="s">
        <v>124</v>
      </c>
      <c r="C32" s="13" t="s">
        <v>127</v>
      </c>
      <c r="D32" s="13" t="s">
        <v>29</v>
      </c>
      <c r="E32" s="14">
        <v>30</v>
      </c>
      <c r="F32" s="16">
        <v>2</v>
      </c>
      <c r="G32" s="24"/>
    </row>
    <row r="33" spans="1:7" ht="15" customHeight="1" x14ac:dyDescent="0.25">
      <c r="A33" s="13" t="s">
        <v>102</v>
      </c>
      <c r="B33" s="13" t="s">
        <v>28</v>
      </c>
      <c r="C33" s="13" t="s">
        <v>62</v>
      </c>
      <c r="D33" s="13" t="s">
        <v>29</v>
      </c>
      <c r="E33" s="14">
        <v>31</v>
      </c>
      <c r="F33" s="16">
        <v>3</v>
      </c>
      <c r="G33" s="24"/>
    </row>
    <row r="34" spans="1:7" ht="15" customHeight="1" x14ac:dyDescent="0.25">
      <c r="A34" s="13" t="s">
        <v>108</v>
      </c>
      <c r="B34" s="13" t="s">
        <v>31</v>
      </c>
      <c r="C34" s="13" t="s">
        <v>64</v>
      </c>
      <c r="D34" s="13" t="s">
        <v>29</v>
      </c>
      <c r="E34" s="14">
        <v>32</v>
      </c>
      <c r="F34" s="16">
        <v>2</v>
      </c>
      <c r="G34" s="24"/>
    </row>
    <row r="35" spans="1:7" ht="15" customHeight="1" x14ac:dyDescent="0.25">
      <c r="A35" s="13" t="s">
        <v>110</v>
      </c>
      <c r="B35" s="13" t="s">
        <v>32</v>
      </c>
      <c r="C35" s="13" t="s">
        <v>65</v>
      </c>
      <c r="D35" s="13" t="s">
        <v>29</v>
      </c>
      <c r="E35" s="14">
        <v>33</v>
      </c>
      <c r="F35" s="16">
        <v>3</v>
      </c>
      <c r="G35" s="24"/>
    </row>
    <row r="36" spans="1:7" ht="15" customHeight="1" x14ac:dyDescent="0.25">
      <c r="A36" s="13" t="s">
        <v>89</v>
      </c>
      <c r="B36" s="13" t="s">
        <v>34</v>
      </c>
      <c r="C36" s="13" t="s">
        <v>67</v>
      </c>
      <c r="D36" s="13" t="s">
        <v>29</v>
      </c>
      <c r="E36" s="14">
        <v>34</v>
      </c>
      <c r="F36" s="16">
        <v>1</v>
      </c>
      <c r="G36" s="24"/>
    </row>
    <row r="37" spans="1:7" ht="15" customHeight="1" x14ac:dyDescent="0.25">
      <c r="A37" s="13" t="s">
        <v>101</v>
      </c>
      <c r="B37" s="13" t="s">
        <v>35</v>
      </c>
      <c r="C37" s="13" t="s">
        <v>68</v>
      </c>
      <c r="D37" s="13" t="s">
        <v>29</v>
      </c>
      <c r="E37" s="14">
        <v>35</v>
      </c>
      <c r="F37" s="16">
        <v>3</v>
      </c>
      <c r="G37" s="24"/>
    </row>
    <row r="38" spans="1:7" ht="15" customHeight="1" x14ac:dyDescent="0.25">
      <c r="A38" s="13" t="s">
        <v>92</v>
      </c>
      <c r="B38" s="13" t="s">
        <v>36</v>
      </c>
      <c r="C38" s="13" t="s">
        <v>69</v>
      </c>
      <c r="D38" s="13" t="s">
        <v>29</v>
      </c>
      <c r="E38" s="14">
        <v>36</v>
      </c>
      <c r="F38" s="16">
        <v>3</v>
      </c>
      <c r="G38" s="24"/>
    </row>
    <row r="39" spans="1:7" ht="15" customHeight="1" x14ac:dyDescent="0.25">
      <c r="A39" s="13" t="s">
        <v>91</v>
      </c>
      <c r="B39" s="13" t="s">
        <v>37</v>
      </c>
      <c r="C39" s="13" t="s">
        <v>70</v>
      </c>
      <c r="D39" s="13" t="s">
        <v>29</v>
      </c>
      <c r="E39" s="14">
        <v>37</v>
      </c>
      <c r="F39" s="16">
        <v>3</v>
      </c>
      <c r="G39" s="24"/>
    </row>
    <row r="40" spans="1:7" ht="15" customHeight="1" x14ac:dyDescent="0.25">
      <c r="A40" s="13" t="s">
        <v>98</v>
      </c>
      <c r="B40" s="13" t="s">
        <v>38</v>
      </c>
      <c r="C40" s="13" t="s">
        <v>71</v>
      </c>
      <c r="D40" s="13" t="s">
        <v>29</v>
      </c>
      <c r="E40" s="14">
        <v>38</v>
      </c>
      <c r="F40" s="16">
        <v>3</v>
      </c>
      <c r="G40" s="24"/>
    </row>
    <row r="41" spans="1:7" ht="15" customHeight="1" x14ac:dyDescent="0.25">
      <c r="A41" s="13" t="s">
        <v>116</v>
      </c>
      <c r="B41" s="13" t="s">
        <v>39</v>
      </c>
      <c r="C41" s="13" t="s">
        <v>72</v>
      </c>
      <c r="D41" s="13" t="s">
        <v>29</v>
      </c>
      <c r="E41" s="14">
        <v>39</v>
      </c>
      <c r="F41" s="17">
        <v>3</v>
      </c>
      <c r="G41" s="24"/>
    </row>
  </sheetData>
  <autoFilter ref="A2:F2" xr:uid="{48467ADB-C6C5-4254-AAD7-3296496ECAD6}">
    <sortState xmlns:xlrd2="http://schemas.microsoft.com/office/spreadsheetml/2017/richdata2" ref="A3:F41">
      <sortCondition ref="E2"/>
    </sortState>
  </autoFilter>
  <mergeCells count="6">
    <mergeCell ref="G29:G41"/>
    <mergeCell ref="G3:G5"/>
    <mergeCell ref="G6:G11"/>
    <mergeCell ref="G12:G18"/>
    <mergeCell ref="G19:G21"/>
    <mergeCell ref="G22:G28"/>
  </mergeCells>
  <phoneticPr fontId="3" type="noConversion"/>
  <dataValidations count="1">
    <dataValidation type="list" allowBlank="1" showInputMessage="1" showErrorMessage="1" sqref="D3:D41" xr:uid="{65893C47-9718-40F8-8281-4B43B983E79B}">
      <formula1>$L$4:$L$6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1867E-34DE-447F-9746-E80E2BEA00D7}">
  <dimension ref="B2:F336"/>
  <sheetViews>
    <sheetView workbookViewId="0">
      <selection activeCell="M30" sqref="M30"/>
    </sheetView>
  </sheetViews>
  <sheetFormatPr defaultRowHeight="15" x14ac:dyDescent="0.25"/>
  <cols>
    <col min="2" max="2" width="9.140625" style="20"/>
    <col min="3" max="3" width="23" style="20" customWidth="1"/>
    <col min="4" max="4" width="29.7109375" bestFit="1" customWidth="1"/>
    <col min="5" max="5" width="14.5703125" style="1" bestFit="1" customWidth="1"/>
  </cols>
  <sheetData>
    <row r="2" spans="2:5" ht="30" x14ac:dyDescent="0.25">
      <c r="B2" s="20" t="s">
        <v>146</v>
      </c>
    </row>
    <row r="4" spans="2:5" x14ac:dyDescent="0.25">
      <c r="B4" s="21" t="s">
        <v>139</v>
      </c>
      <c r="C4" s="21" t="s">
        <v>40</v>
      </c>
      <c r="D4" s="22" t="s">
        <v>140</v>
      </c>
      <c r="E4" s="18" t="s">
        <v>141</v>
      </c>
    </row>
    <row r="5" spans="2:5" x14ac:dyDescent="0.25">
      <c r="B5" s="25" t="s">
        <v>94</v>
      </c>
      <c r="C5" s="25" t="s">
        <v>5</v>
      </c>
      <c r="D5" s="22" t="s">
        <v>130</v>
      </c>
      <c r="E5" s="18">
        <v>2</v>
      </c>
    </row>
    <row r="6" spans="2:5" x14ac:dyDescent="0.25">
      <c r="B6" s="25"/>
      <c r="C6" s="25"/>
      <c r="D6" s="22" t="s">
        <v>131</v>
      </c>
      <c r="E6" s="18">
        <v>3</v>
      </c>
    </row>
    <row r="7" spans="2:5" x14ac:dyDescent="0.25">
      <c r="B7" s="25"/>
      <c r="C7" s="25"/>
      <c r="D7" s="22" t="s">
        <v>132</v>
      </c>
      <c r="E7" s="18">
        <v>3</v>
      </c>
    </row>
    <row r="8" spans="2:5" x14ac:dyDescent="0.25">
      <c r="B8" s="25"/>
      <c r="C8" s="25"/>
      <c r="D8" s="22" t="s">
        <v>133</v>
      </c>
      <c r="E8" s="18">
        <v>4</v>
      </c>
    </row>
    <row r="9" spans="2:5" x14ac:dyDescent="0.25">
      <c r="B9" s="25"/>
      <c r="C9" s="25"/>
      <c r="D9" s="22" t="s">
        <v>134</v>
      </c>
      <c r="E9" s="18">
        <v>10</v>
      </c>
    </row>
    <row r="10" spans="2:5" x14ac:dyDescent="0.25">
      <c r="B10" s="25"/>
      <c r="C10" s="25"/>
      <c r="D10" s="22" t="s">
        <v>135</v>
      </c>
      <c r="E10" s="18">
        <v>10</v>
      </c>
    </row>
    <row r="11" spans="2:5" x14ac:dyDescent="0.25">
      <c r="B11" s="25"/>
      <c r="C11" s="25"/>
      <c r="D11" s="22" t="s">
        <v>136</v>
      </c>
      <c r="E11" s="18">
        <v>5</v>
      </c>
    </row>
    <row r="12" spans="2:5" x14ac:dyDescent="0.25">
      <c r="B12" s="25"/>
      <c r="C12" s="25"/>
      <c r="D12" s="22" t="s">
        <v>137</v>
      </c>
      <c r="E12" s="18">
        <v>3</v>
      </c>
    </row>
    <row r="13" spans="2:5" x14ac:dyDescent="0.25">
      <c r="B13" s="25" t="s">
        <v>100</v>
      </c>
      <c r="C13" s="25" t="s">
        <v>8</v>
      </c>
      <c r="D13" s="22" t="s">
        <v>130</v>
      </c>
      <c r="E13" s="18">
        <v>1.5</v>
      </c>
    </row>
    <row r="14" spans="2:5" x14ac:dyDescent="0.25">
      <c r="B14" s="25"/>
      <c r="C14" s="25"/>
      <c r="D14" s="22" t="s">
        <v>131</v>
      </c>
      <c r="E14" s="18">
        <v>2</v>
      </c>
    </row>
    <row r="15" spans="2:5" x14ac:dyDescent="0.25">
      <c r="B15" s="25"/>
      <c r="C15" s="25"/>
      <c r="D15" s="22" t="s">
        <v>132</v>
      </c>
      <c r="E15" s="18">
        <v>2.5</v>
      </c>
    </row>
    <row r="16" spans="2:5" x14ac:dyDescent="0.25">
      <c r="B16" s="25"/>
      <c r="C16" s="25"/>
      <c r="D16" s="22" t="s">
        <v>133</v>
      </c>
      <c r="E16" s="18">
        <v>3</v>
      </c>
    </row>
    <row r="17" spans="2:6" x14ac:dyDescent="0.25">
      <c r="B17" s="25"/>
      <c r="C17" s="25"/>
      <c r="D17" s="22" t="s">
        <v>134</v>
      </c>
      <c r="E17" s="18">
        <v>7.5</v>
      </c>
    </row>
    <row r="18" spans="2:6" x14ac:dyDescent="0.25">
      <c r="B18" s="25"/>
      <c r="C18" s="25"/>
      <c r="D18" s="22" t="s">
        <v>135</v>
      </c>
      <c r="E18" s="18">
        <v>7.5</v>
      </c>
    </row>
    <row r="19" spans="2:6" x14ac:dyDescent="0.25">
      <c r="B19" s="25"/>
      <c r="C19" s="25"/>
      <c r="D19" s="22" t="s">
        <v>136</v>
      </c>
      <c r="E19" s="18">
        <v>4</v>
      </c>
    </row>
    <row r="20" spans="2:6" x14ac:dyDescent="0.25">
      <c r="B20" s="25"/>
      <c r="C20" s="25"/>
      <c r="D20" s="22" t="s">
        <v>137</v>
      </c>
      <c r="E20" s="18">
        <v>2</v>
      </c>
    </row>
    <row r="21" spans="2:6" x14ac:dyDescent="0.25">
      <c r="B21" s="25" t="s">
        <v>90</v>
      </c>
      <c r="C21" s="25" t="s">
        <v>9</v>
      </c>
      <c r="D21" s="22" t="s">
        <v>130</v>
      </c>
      <c r="E21" s="18">
        <v>2.5</v>
      </c>
    </row>
    <row r="22" spans="2:6" x14ac:dyDescent="0.25">
      <c r="B22" s="25"/>
      <c r="C22" s="25"/>
      <c r="D22" s="22" t="s">
        <v>131</v>
      </c>
      <c r="E22" s="18">
        <v>3</v>
      </c>
    </row>
    <row r="23" spans="2:6" x14ac:dyDescent="0.25">
      <c r="B23" s="25"/>
      <c r="C23" s="25"/>
      <c r="D23" s="22" t="s">
        <v>132</v>
      </c>
      <c r="E23" s="18">
        <v>4</v>
      </c>
    </row>
    <row r="24" spans="2:6" x14ac:dyDescent="0.25">
      <c r="B24" s="25"/>
      <c r="C24" s="25"/>
      <c r="D24" s="22" t="s">
        <v>133</v>
      </c>
      <c r="E24" s="18">
        <v>5</v>
      </c>
    </row>
    <row r="25" spans="2:6" x14ac:dyDescent="0.25">
      <c r="B25" s="25"/>
      <c r="C25" s="25"/>
      <c r="D25" s="22" t="s">
        <v>134</v>
      </c>
      <c r="E25" s="18">
        <v>12.5</v>
      </c>
    </row>
    <row r="26" spans="2:6" x14ac:dyDescent="0.25">
      <c r="B26" s="25"/>
      <c r="C26" s="25"/>
      <c r="D26" s="22" t="s">
        <v>135</v>
      </c>
      <c r="E26" s="18">
        <v>12.5</v>
      </c>
    </row>
    <row r="27" spans="2:6" x14ac:dyDescent="0.25">
      <c r="B27" s="25"/>
      <c r="C27" s="25"/>
      <c r="D27" s="22" t="s">
        <v>136</v>
      </c>
      <c r="E27" s="18">
        <v>6</v>
      </c>
    </row>
    <row r="28" spans="2:6" x14ac:dyDescent="0.25">
      <c r="B28" s="25"/>
      <c r="C28" s="25"/>
      <c r="D28" s="22" t="s">
        <v>137</v>
      </c>
      <c r="E28" s="18">
        <v>4.5</v>
      </c>
    </row>
    <row r="29" spans="2:6" x14ac:dyDescent="0.25">
      <c r="E29" s="1">
        <f>SUM(E5:E28)</f>
        <v>120</v>
      </c>
      <c r="F29">
        <f>E29/12/2</f>
        <v>5</v>
      </c>
    </row>
    <row r="30" spans="2:6" ht="30" x14ac:dyDescent="0.25">
      <c r="B30" s="20" t="s">
        <v>138</v>
      </c>
    </row>
    <row r="32" spans="2:6" x14ac:dyDescent="0.25">
      <c r="B32" s="21" t="s">
        <v>139</v>
      </c>
      <c r="C32" s="21" t="s">
        <v>40</v>
      </c>
      <c r="D32" s="22" t="s">
        <v>140</v>
      </c>
      <c r="E32" s="18" t="s">
        <v>141</v>
      </c>
    </row>
    <row r="33" spans="2:5" x14ac:dyDescent="0.25">
      <c r="B33" s="25" t="s">
        <v>87</v>
      </c>
      <c r="C33" s="25" t="s">
        <v>10</v>
      </c>
      <c r="D33" s="22" t="s">
        <v>130</v>
      </c>
      <c r="E33" s="18">
        <v>2</v>
      </c>
    </row>
    <row r="34" spans="2:5" x14ac:dyDescent="0.25">
      <c r="B34" s="25"/>
      <c r="C34" s="25"/>
      <c r="D34" s="22" t="s">
        <v>131</v>
      </c>
      <c r="E34" s="18">
        <v>2</v>
      </c>
    </row>
    <row r="35" spans="2:5" x14ac:dyDescent="0.25">
      <c r="B35" s="25"/>
      <c r="C35" s="25"/>
      <c r="D35" s="22" t="s">
        <v>132</v>
      </c>
      <c r="E35" s="18">
        <v>2</v>
      </c>
    </row>
    <row r="36" spans="2:5" x14ac:dyDescent="0.25">
      <c r="B36" s="25"/>
      <c r="C36" s="25"/>
      <c r="D36" s="22" t="s">
        <v>133</v>
      </c>
      <c r="E36" s="18">
        <v>3</v>
      </c>
    </row>
    <row r="37" spans="2:5" x14ac:dyDescent="0.25">
      <c r="B37" s="25"/>
      <c r="C37" s="25"/>
      <c r="D37" s="22" t="s">
        <v>134</v>
      </c>
      <c r="E37" s="18">
        <v>3</v>
      </c>
    </row>
    <row r="38" spans="2:5" x14ac:dyDescent="0.25">
      <c r="B38" s="25"/>
      <c r="C38" s="25"/>
      <c r="D38" s="22" t="s">
        <v>135</v>
      </c>
      <c r="E38" s="18">
        <v>3</v>
      </c>
    </row>
    <row r="39" spans="2:5" x14ac:dyDescent="0.25">
      <c r="B39" s="25"/>
      <c r="C39" s="25"/>
      <c r="D39" s="22" t="s">
        <v>136</v>
      </c>
      <c r="E39" s="18">
        <v>1</v>
      </c>
    </row>
    <row r="40" spans="2:5" x14ac:dyDescent="0.25">
      <c r="B40" s="25"/>
      <c r="C40" s="25"/>
      <c r="D40" s="22" t="s">
        <v>137</v>
      </c>
      <c r="E40" s="18">
        <v>1</v>
      </c>
    </row>
    <row r="41" spans="2:5" x14ac:dyDescent="0.25">
      <c r="B41" s="25" t="s">
        <v>81</v>
      </c>
      <c r="C41" s="25" t="s">
        <v>11</v>
      </c>
      <c r="D41" s="22" t="s">
        <v>130</v>
      </c>
      <c r="E41" s="18">
        <v>3</v>
      </c>
    </row>
    <row r="42" spans="2:5" x14ac:dyDescent="0.25">
      <c r="B42" s="25"/>
      <c r="C42" s="25"/>
      <c r="D42" s="22" t="s">
        <v>131</v>
      </c>
      <c r="E42" s="18">
        <v>3</v>
      </c>
    </row>
    <row r="43" spans="2:5" x14ac:dyDescent="0.25">
      <c r="B43" s="25"/>
      <c r="C43" s="25"/>
      <c r="D43" s="22" t="s">
        <v>132</v>
      </c>
      <c r="E43" s="18">
        <v>3</v>
      </c>
    </row>
    <row r="44" spans="2:5" x14ac:dyDescent="0.25">
      <c r="B44" s="25"/>
      <c r="C44" s="25"/>
      <c r="D44" s="22" t="s">
        <v>133</v>
      </c>
      <c r="E44" s="18">
        <v>3</v>
      </c>
    </row>
    <row r="45" spans="2:5" x14ac:dyDescent="0.25">
      <c r="B45" s="25"/>
      <c r="C45" s="25"/>
      <c r="D45" s="22" t="s">
        <v>134</v>
      </c>
      <c r="E45" s="18">
        <v>4</v>
      </c>
    </row>
    <row r="46" spans="2:5" x14ac:dyDescent="0.25">
      <c r="B46" s="25"/>
      <c r="C46" s="25"/>
      <c r="D46" s="22" t="s">
        <v>135</v>
      </c>
      <c r="E46" s="18">
        <v>4</v>
      </c>
    </row>
    <row r="47" spans="2:5" x14ac:dyDescent="0.25">
      <c r="B47" s="25"/>
      <c r="C47" s="25"/>
      <c r="D47" s="22" t="s">
        <v>136</v>
      </c>
      <c r="E47" s="18">
        <v>2</v>
      </c>
    </row>
    <row r="48" spans="2:5" x14ac:dyDescent="0.25">
      <c r="B48" s="25"/>
      <c r="C48" s="25"/>
      <c r="D48" s="22" t="s">
        <v>137</v>
      </c>
      <c r="E48" s="18">
        <v>1</v>
      </c>
    </row>
    <row r="49" spans="2:5" x14ac:dyDescent="0.25">
      <c r="B49" s="25" t="s">
        <v>88</v>
      </c>
      <c r="C49" s="25" t="s">
        <v>12</v>
      </c>
      <c r="D49" s="22" t="s">
        <v>130</v>
      </c>
      <c r="E49" s="18">
        <v>2</v>
      </c>
    </row>
    <row r="50" spans="2:5" x14ac:dyDescent="0.25">
      <c r="B50" s="25"/>
      <c r="C50" s="25"/>
      <c r="D50" s="22" t="s">
        <v>131</v>
      </c>
      <c r="E50" s="18">
        <v>2</v>
      </c>
    </row>
    <row r="51" spans="2:5" x14ac:dyDescent="0.25">
      <c r="B51" s="25"/>
      <c r="C51" s="25"/>
      <c r="D51" s="22" t="s">
        <v>132</v>
      </c>
      <c r="E51" s="18">
        <v>2</v>
      </c>
    </row>
    <row r="52" spans="2:5" x14ac:dyDescent="0.25">
      <c r="B52" s="25"/>
      <c r="C52" s="25"/>
      <c r="D52" s="22" t="s">
        <v>133</v>
      </c>
      <c r="E52" s="18">
        <v>3</v>
      </c>
    </row>
    <row r="53" spans="2:5" x14ac:dyDescent="0.25">
      <c r="B53" s="25"/>
      <c r="C53" s="25"/>
      <c r="D53" s="22" t="s">
        <v>134</v>
      </c>
      <c r="E53" s="18">
        <v>3</v>
      </c>
    </row>
    <row r="54" spans="2:5" x14ac:dyDescent="0.25">
      <c r="B54" s="25"/>
      <c r="C54" s="25"/>
      <c r="D54" s="22" t="s">
        <v>135</v>
      </c>
      <c r="E54" s="18">
        <v>3</v>
      </c>
    </row>
    <row r="55" spans="2:5" x14ac:dyDescent="0.25">
      <c r="B55" s="25"/>
      <c r="C55" s="25"/>
      <c r="D55" s="22" t="s">
        <v>136</v>
      </c>
      <c r="E55" s="18">
        <v>1</v>
      </c>
    </row>
    <row r="56" spans="2:5" x14ac:dyDescent="0.25">
      <c r="B56" s="25"/>
      <c r="C56" s="25"/>
      <c r="D56" s="22" t="s">
        <v>137</v>
      </c>
      <c r="E56" s="18">
        <v>1</v>
      </c>
    </row>
    <row r="57" spans="2:5" x14ac:dyDescent="0.25">
      <c r="B57" s="25" t="s">
        <v>107</v>
      </c>
      <c r="C57" s="25" t="s">
        <v>16</v>
      </c>
      <c r="D57" s="22" t="s">
        <v>130</v>
      </c>
      <c r="E57" s="18">
        <v>2</v>
      </c>
    </row>
    <row r="58" spans="2:5" x14ac:dyDescent="0.25">
      <c r="B58" s="25"/>
      <c r="C58" s="25"/>
      <c r="D58" s="22" t="s">
        <v>131</v>
      </c>
      <c r="E58" s="18">
        <v>2</v>
      </c>
    </row>
    <row r="59" spans="2:5" x14ac:dyDescent="0.25">
      <c r="B59" s="25"/>
      <c r="C59" s="25"/>
      <c r="D59" s="22" t="s">
        <v>132</v>
      </c>
      <c r="E59" s="18">
        <v>2</v>
      </c>
    </row>
    <row r="60" spans="2:5" x14ac:dyDescent="0.25">
      <c r="B60" s="25"/>
      <c r="C60" s="25"/>
      <c r="D60" s="22" t="s">
        <v>133</v>
      </c>
      <c r="E60" s="18">
        <v>3</v>
      </c>
    </row>
    <row r="61" spans="2:5" x14ac:dyDescent="0.25">
      <c r="B61" s="25"/>
      <c r="C61" s="25"/>
      <c r="D61" s="22" t="s">
        <v>134</v>
      </c>
      <c r="E61" s="18">
        <v>3</v>
      </c>
    </row>
    <row r="62" spans="2:5" x14ac:dyDescent="0.25">
      <c r="B62" s="25"/>
      <c r="C62" s="25"/>
      <c r="D62" s="22" t="s">
        <v>135</v>
      </c>
      <c r="E62" s="18">
        <v>3</v>
      </c>
    </row>
    <row r="63" spans="2:5" x14ac:dyDescent="0.25">
      <c r="B63" s="25"/>
      <c r="C63" s="25"/>
      <c r="D63" s="22" t="s">
        <v>136</v>
      </c>
      <c r="E63" s="18">
        <v>1</v>
      </c>
    </row>
    <row r="64" spans="2:5" x14ac:dyDescent="0.25">
      <c r="B64" s="25"/>
      <c r="C64" s="25"/>
      <c r="D64" s="22" t="s">
        <v>137</v>
      </c>
      <c r="E64" s="18">
        <v>1</v>
      </c>
    </row>
    <row r="65" spans="2:5" x14ac:dyDescent="0.25">
      <c r="B65" s="25" t="s">
        <v>104</v>
      </c>
      <c r="C65" s="25" t="s">
        <v>14</v>
      </c>
      <c r="D65" s="22" t="s">
        <v>130</v>
      </c>
      <c r="E65" s="18">
        <v>2</v>
      </c>
    </row>
    <row r="66" spans="2:5" x14ac:dyDescent="0.25">
      <c r="B66" s="25"/>
      <c r="C66" s="25"/>
      <c r="D66" s="22" t="s">
        <v>131</v>
      </c>
      <c r="E66" s="18">
        <v>2</v>
      </c>
    </row>
    <row r="67" spans="2:5" x14ac:dyDescent="0.25">
      <c r="B67" s="25"/>
      <c r="C67" s="25"/>
      <c r="D67" s="22" t="s">
        <v>132</v>
      </c>
      <c r="E67" s="18">
        <v>2</v>
      </c>
    </row>
    <row r="68" spans="2:5" x14ac:dyDescent="0.25">
      <c r="B68" s="25"/>
      <c r="C68" s="25"/>
      <c r="D68" s="22" t="s">
        <v>133</v>
      </c>
      <c r="E68" s="18">
        <v>3</v>
      </c>
    </row>
    <row r="69" spans="2:5" x14ac:dyDescent="0.25">
      <c r="B69" s="25"/>
      <c r="C69" s="25"/>
      <c r="D69" s="22" t="s">
        <v>134</v>
      </c>
      <c r="E69" s="18">
        <v>3</v>
      </c>
    </row>
    <row r="70" spans="2:5" x14ac:dyDescent="0.25">
      <c r="B70" s="25"/>
      <c r="C70" s="25"/>
      <c r="D70" s="22" t="s">
        <v>135</v>
      </c>
      <c r="E70" s="18">
        <v>3</v>
      </c>
    </row>
    <row r="71" spans="2:5" x14ac:dyDescent="0.25">
      <c r="B71" s="25"/>
      <c r="C71" s="25"/>
      <c r="D71" s="22" t="s">
        <v>136</v>
      </c>
      <c r="E71" s="18">
        <v>1</v>
      </c>
    </row>
    <row r="72" spans="2:5" x14ac:dyDescent="0.25">
      <c r="B72" s="25"/>
      <c r="C72" s="25"/>
      <c r="D72" s="22" t="s">
        <v>137</v>
      </c>
      <c r="E72" s="18">
        <v>1</v>
      </c>
    </row>
    <row r="73" spans="2:5" x14ac:dyDescent="0.25">
      <c r="B73" s="25" t="s">
        <v>103</v>
      </c>
      <c r="C73" s="25" t="s">
        <v>114</v>
      </c>
      <c r="D73" s="22" t="s">
        <v>130</v>
      </c>
      <c r="E73" s="18">
        <v>2</v>
      </c>
    </row>
    <row r="74" spans="2:5" x14ac:dyDescent="0.25">
      <c r="B74" s="25"/>
      <c r="C74" s="25"/>
      <c r="D74" s="22" t="s">
        <v>131</v>
      </c>
      <c r="E74" s="18">
        <v>2</v>
      </c>
    </row>
    <row r="75" spans="2:5" x14ac:dyDescent="0.25">
      <c r="B75" s="25"/>
      <c r="C75" s="25"/>
      <c r="D75" s="22" t="s">
        <v>132</v>
      </c>
      <c r="E75" s="18">
        <v>2</v>
      </c>
    </row>
    <row r="76" spans="2:5" x14ac:dyDescent="0.25">
      <c r="B76" s="25"/>
      <c r="C76" s="25"/>
      <c r="D76" s="22" t="s">
        <v>133</v>
      </c>
      <c r="E76" s="18">
        <v>3</v>
      </c>
    </row>
    <row r="77" spans="2:5" x14ac:dyDescent="0.25">
      <c r="B77" s="25"/>
      <c r="C77" s="25"/>
      <c r="D77" s="22" t="s">
        <v>134</v>
      </c>
      <c r="E77" s="18">
        <v>3</v>
      </c>
    </row>
    <row r="78" spans="2:5" x14ac:dyDescent="0.25">
      <c r="B78" s="25"/>
      <c r="C78" s="25"/>
      <c r="D78" s="22" t="s">
        <v>135</v>
      </c>
      <c r="E78" s="18">
        <v>3</v>
      </c>
    </row>
    <row r="79" spans="2:5" x14ac:dyDescent="0.25">
      <c r="B79" s="25"/>
      <c r="C79" s="25"/>
      <c r="D79" s="22" t="s">
        <v>136</v>
      </c>
      <c r="E79" s="18">
        <v>1</v>
      </c>
    </row>
    <row r="80" spans="2:5" x14ac:dyDescent="0.25">
      <c r="B80" s="25"/>
      <c r="C80" s="25"/>
      <c r="D80" s="22" t="s">
        <v>137</v>
      </c>
      <c r="E80" s="18">
        <v>1</v>
      </c>
    </row>
    <row r="82" spans="2:5" ht="30" x14ac:dyDescent="0.25">
      <c r="B82" s="21" t="s">
        <v>142</v>
      </c>
    </row>
    <row r="84" spans="2:5" x14ac:dyDescent="0.25">
      <c r="B84" s="21" t="s">
        <v>139</v>
      </c>
      <c r="C84" s="21" t="s">
        <v>40</v>
      </c>
      <c r="D84" s="22" t="s">
        <v>140</v>
      </c>
      <c r="E84" s="18" t="s">
        <v>141</v>
      </c>
    </row>
    <row r="85" spans="2:5" x14ac:dyDescent="0.25">
      <c r="B85" s="25" t="s">
        <v>99</v>
      </c>
      <c r="C85" s="25" t="s">
        <v>33</v>
      </c>
      <c r="D85" s="22" t="s">
        <v>130</v>
      </c>
      <c r="E85" s="18">
        <v>2</v>
      </c>
    </row>
    <row r="86" spans="2:5" x14ac:dyDescent="0.25">
      <c r="B86" s="25"/>
      <c r="C86" s="25"/>
      <c r="D86" s="22" t="s">
        <v>131</v>
      </c>
      <c r="E86" s="18">
        <v>2</v>
      </c>
    </row>
    <row r="87" spans="2:5" x14ac:dyDescent="0.25">
      <c r="B87" s="25"/>
      <c r="C87" s="25"/>
      <c r="D87" s="22" t="s">
        <v>132</v>
      </c>
      <c r="E87" s="18">
        <v>2</v>
      </c>
    </row>
    <row r="88" spans="2:5" x14ac:dyDescent="0.25">
      <c r="B88" s="25"/>
      <c r="C88" s="25"/>
      <c r="D88" s="22" t="s">
        <v>133</v>
      </c>
      <c r="E88" s="18">
        <v>3</v>
      </c>
    </row>
    <row r="89" spans="2:5" x14ac:dyDescent="0.25">
      <c r="B89" s="25"/>
      <c r="C89" s="25"/>
      <c r="D89" s="22" t="s">
        <v>134</v>
      </c>
      <c r="E89" s="18">
        <v>3</v>
      </c>
    </row>
    <row r="90" spans="2:5" x14ac:dyDescent="0.25">
      <c r="B90" s="25"/>
      <c r="C90" s="25"/>
      <c r="D90" s="22" t="s">
        <v>135</v>
      </c>
      <c r="E90" s="18">
        <v>3</v>
      </c>
    </row>
    <row r="91" spans="2:5" x14ac:dyDescent="0.25">
      <c r="B91" s="25"/>
      <c r="C91" s="25"/>
      <c r="D91" s="22" t="s">
        <v>136</v>
      </c>
      <c r="E91" s="18">
        <v>1</v>
      </c>
    </row>
    <row r="92" spans="2:5" x14ac:dyDescent="0.25">
      <c r="B92" s="25"/>
      <c r="C92" s="25"/>
      <c r="D92" s="22" t="s">
        <v>137</v>
      </c>
      <c r="E92" s="18">
        <v>1</v>
      </c>
    </row>
    <row r="93" spans="2:5" x14ac:dyDescent="0.25">
      <c r="B93" s="25" t="s">
        <v>95</v>
      </c>
      <c r="C93" s="25" t="s">
        <v>7</v>
      </c>
      <c r="D93" s="22" t="s">
        <v>130</v>
      </c>
      <c r="E93" s="18">
        <v>2</v>
      </c>
    </row>
    <row r="94" spans="2:5" x14ac:dyDescent="0.25">
      <c r="B94" s="25"/>
      <c r="C94" s="25"/>
      <c r="D94" s="22" t="s">
        <v>131</v>
      </c>
      <c r="E94" s="18">
        <v>2</v>
      </c>
    </row>
    <row r="95" spans="2:5" x14ac:dyDescent="0.25">
      <c r="B95" s="25"/>
      <c r="C95" s="25"/>
      <c r="D95" s="22" t="s">
        <v>132</v>
      </c>
      <c r="E95" s="18">
        <v>2</v>
      </c>
    </row>
    <row r="96" spans="2:5" x14ac:dyDescent="0.25">
      <c r="B96" s="25"/>
      <c r="C96" s="25"/>
      <c r="D96" s="22" t="s">
        <v>133</v>
      </c>
      <c r="E96" s="18">
        <v>3</v>
      </c>
    </row>
    <row r="97" spans="2:5" x14ac:dyDescent="0.25">
      <c r="B97" s="25"/>
      <c r="C97" s="25"/>
      <c r="D97" s="22" t="s">
        <v>134</v>
      </c>
      <c r="E97" s="18">
        <v>3</v>
      </c>
    </row>
    <row r="98" spans="2:5" x14ac:dyDescent="0.25">
      <c r="B98" s="25"/>
      <c r="C98" s="25"/>
      <c r="D98" s="22" t="s">
        <v>135</v>
      </c>
      <c r="E98" s="18">
        <v>3</v>
      </c>
    </row>
    <row r="99" spans="2:5" x14ac:dyDescent="0.25">
      <c r="B99" s="25"/>
      <c r="C99" s="25"/>
      <c r="D99" s="22" t="s">
        <v>136</v>
      </c>
      <c r="E99" s="18">
        <v>1</v>
      </c>
    </row>
    <row r="100" spans="2:5" x14ac:dyDescent="0.25">
      <c r="B100" s="25"/>
      <c r="C100" s="25"/>
      <c r="D100" s="22" t="s">
        <v>137</v>
      </c>
      <c r="E100" s="18">
        <v>1</v>
      </c>
    </row>
    <row r="101" spans="2:5" x14ac:dyDescent="0.25">
      <c r="B101" s="25" t="s">
        <v>83</v>
      </c>
      <c r="C101" s="25" t="s">
        <v>19</v>
      </c>
      <c r="D101" s="22" t="s">
        <v>130</v>
      </c>
      <c r="E101" s="18">
        <v>2</v>
      </c>
    </row>
    <row r="102" spans="2:5" x14ac:dyDescent="0.25">
      <c r="B102" s="25"/>
      <c r="C102" s="25"/>
      <c r="D102" s="22" t="s">
        <v>131</v>
      </c>
      <c r="E102" s="18">
        <v>2</v>
      </c>
    </row>
    <row r="103" spans="2:5" x14ac:dyDescent="0.25">
      <c r="B103" s="25"/>
      <c r="C103" s="25"/>
      <c r="D103" s="22" t="s">
        <v>132</v>
      </c>
      <c r="E103" s="18">
        <v>2</v>
      </c>
    </row>
    <row r="104" spans="2:5" x14ac:dyDescent="0.25">
      <c r="B104" s="25"/>
      <c r="C104" s="25"/>
      <c r="D104" s="22" t="s">
        <v>133</v>
      </c>
      <c r="E104" s="18">
        <v>3</v>
      </c>
    </row>
    <row r="105" spans="2:5" x14ac:dyDescent="0.25">
      <c r="B105" s="25"/>
      <c r="C105" s="25"/>
      <c r="D105" s="22" t="s">
        <v>134</v>
      </c>
      <c r="E105" s="18">
        <v>3</v>
      </c>
    </row>
    <row r="106" spans="2:5" x14ac:dyDescent="0.25">
      <c r="B106" s="25"/>
      <c r="C106" s="25"/>
      <c r="D106" s="22" t="s">
        <v>135</v>
      </c>
      <c r="E106" s="18">
        <v>3</v>
      </c>
    </row>
    <row r="107" spans="2:5" x14ac:dyDescent="0.25">
      <c r="B107" s="25"/>
      <c r="C107" s="25"/>
      <c r="D107" s="22" t="s">
        <v>136</v>
      </c>
      <c r="E107" s="18">
        <v>1</v>
      </c>
    </row>
    <row r="108" spans="2:5" x14ac:dyDescent="0.25">
      <c r="B108" s="25"/>
      <c r="C108" s="25"/>
      <c r="D108" s="22" t="s">
        <v>137</v>
      </c>
      <c r="E108" s="18">
        <v>1</v>
      </c>
    </row>
    <row r="109" spans="2:5" x14ac:dyDescent="0.25">
      <c r="B109" s="25" t="s">
        <v>82</v>
      </c>
      <c r="C109" s="25" t="s">
        <v>20</v>
      </c>
      <c r="D109" s="22" t="s">
        <v>130</v>
      </c>
      <c r="E109" s="18">
        <v>2</v>
      </c>
    </row>
    <row r="110" spans="2:5" x14ac:dyDescent="0.25">
      <c r="B110" s="25"/>
      <c r="C110" s="25"/>
      <c r="D110" s="22" t="s">
        <v>131</v>
      </c>
      <c r="E110" s="18">
        <v>2</v>
      </c>
    </row>
    <row r="111" spans="2:5" x14ac:dyDescent="0.25">
      <c r="B111" s="25"/>
      <c r="C111" s="25"/>
      <c r="D111" s="22" t="s">
        <v>132</v>
      </c>
      <c r="E111" s="18">
        <v>2</v>
      </c>
    </row>
    <row r="112" spans="2:5" x14ac:dyDescent="0.25">
      <c r="B112" s="25"/>
      <c r="C112" s="25"/>
      <c r="D112" s="22" t="s">
        <v>133</v>
      </c>
      <c r="E112" s="18">
        <v>3</v>
      </c>
    </row>
    <row r="113" spans="2:5" x14ac:dyDescent="0.25">
      <c r="B113" s="25"/>
      <c r="C113" s="25"/>
      <c r="D113" s="22" t="s">
        <v>134</v>
      </c>
      <c r="E113" s="18">
        <v>3</v>
      </c>
    </row>
    <row r="114" spans="2:5" x14ac:dyDescent="0.25">
      <c r="B114" s="25"/>
      <c r="C114" s="25"/>
      <c r="D114" s="22" t="s">
        <v>135</v>
      </c>
      <c r="E114" s="18">
        <v>3</v>
      </c>
    </row>
    <row r="115" spans="2:5" x14ac:dyDescent="0.25">
      <c r="B115" s="25"/>
      <c r="C115" s="25"/>
      <c r="D115" s="22" t="s">
        <v>136</v>
      </c>
      <c r="E115" s="18">
        <v>1</v>
      </c>
    </row>
    <row r="116" spans="2:5" x14ac:dyDescent="0.25">
      <c r="B116" s="25"/>
      <c r="C116" s="25"/>
      <c r="D116" s="22" t="s">
        <v>137</v>
      </c>
      <c r="E116" s="18">
        <v>1</v>
      </c>
    </row>
    <row r="117" spans="2:5" x14ac:dyDescent="0.25">
      <c r="B117" s="25" t="s">
        <v>79</v>
      </c>
      <c r="C117" s="25" t="s">
        <v>21</v>
      </c>
      <c r="D117" s="22" t="s">
        <v>130</v>
      </c>
      <c r="E117" s="18">
        <v>2</v>
      </c>
    </row>
    <row r="118" spans="2:5" x14ac:dyDescent="0.25">
      <c r="B118" s="25"/>
      <c r="C118" s="25"/>
      <c r="D118" s="22" t="s">
        <v>131</v>
      </c>
      <c r="E118" s="18">
        <v>2</v>
      </c>
    </row>
    <row r="119" spans="2:5" x14ac:dyDescent="0.25">
      <c r="B119" s="25"/>
      <c r="C119" s="25"/>
      <c r="D119" s="22" t="s">
        <v>132</v>
      </c>
      <c r="E119" s="18">
        <v>2</v>
      </c>
    </row>
    <row r="120" spans="2:5" x14ac:dyDescent="0.25">
      <c r="B120" s="25"/>
      <c r="C120" s="25"/>
      <c r="D120" s="22" t="s">
        <v>133</v>
      </c>
      <c r="E120" s="18">
        <v>3</v>
      </c>
    </row>
    <row r="121" spans="2:5" x14ac:dyDescent="0.25">
      <c r="B121" s="25"/>
      <c r="C121" s="25"/>
      <c r="D121" s="22" t="s">
        <v>134</v>
      </c>
      <c r="E121" s="18">
        <v>3</v>
      </c>
    </row>
    <row r="122" spans="2:5" x14ac:dyDescent="0.25">
      <c r="B122" s="25"/>
      <c r="C122" s="25"/>
      <c r="D122" s="22" t="s">
        <v>135</v>
      </c>
      <c r="E122" s="18">
        <v>3</v>
      </c>
    </row>
    <row r="123" spans="2:5" x14ac:dyDescent="0.25">
      <c r="B123" s="25"/>
      <c r="C123" s="25"/>
      <c r="D123" s="22" t="s">
        <v>136</v>
      </c>
      <c r="E123" s="18">
        <v>1</v>
      </c>
    </row>
    <row r="124" spans="2:5" x14ac:dyDescent="0.25">
      <c r="B124" s="25"/>
      <c r="C124" s="25"/>
      <c r="D124" s="22" t="s">
        <v>137</v>
      </c>
      <c r="E124" s="18">
        <v>1</v>
      </c>
    </row>
    <row r="125" spans="2:5" x14ac:dyDescent="0.25">
      <c r="B125" s="25" t="s">
        <v>78</v>
      </c>
      <c r="C125" s="25" t="s">
        <v>22</v>
      </c>
      <c r="D125" s="22" t="s">
        <v>130</v>
      </c>
      <c r="E125" s="18">
        <v>2</v>
      </c>
    </row>
    <row r="126" spans="2:5" x14ac:dyDescent="0.25">
      <c r="B126" s="25"/>
      <c r="C126" s="25"/>
      <c r="D126" s="22" t="s">
        <v>131</v>
      </c>
      <c r="E126" s="18">
        <v>2</v>
      </c>
    </row>
    <row r="127" spans="2:5" x14ac:dyDescent="0.25">
      <c r="B127" s="25"/>
      <c r="C127" s="25"/>
      <c r="D127" s="22" t="s">
        <v>132</v>
      </c>
      <c r="E127" s="18">
        <v>2</v>
      </c>
    </row>
    <row r="128" spans="2:5" x14ac:dyDescent="0.25">
      <c r="B128" s="25"/>
      <c r="C128" s="25"/>
      <c r="D128" s="22" t="s">
        <v>133</v>
      </c>
      <c r="E128" s="18">
        <v>3</v>
      </c>
    </row>
    <row r="129" spans="2:5" x14ac:dyDescent="0.25">
      <c r="B129" s="25"/>
      <c r="C129" s="25"/>
      <c r="D129" s="22" t="s">
        <v>134</v>
      </c>
      <c r="E129" s="18">
        <v>3</v>
      </c>
    </row>
    <row r="130" spans="2:5" x14ac:dyDescent="0.25">
      <c r="B130" s="25"/>
      <c r="C130" s="25"/>
      <c r="D130" s="22" t="s">
        <v>135</v>
      </c>
      <c r="E130" s="18">
        <v>3</v>
      </c>
    </row>
    <row r="131" spans="2:5" x14ac:dyDescent="0.25">
      <c r="B131" s="25"/>
      <c r="C131" s="25"/>
      <c r="D131" s="22" t="s">
        <v>136</v>
      </c>
      <c r="E131" s="18">
        <v>1</v>
      </c>
    </row>
    <row r="132" spans="2:5" x14ac:dyDescent="0.25">
      <c r="B132" s="25"/>
      <c r="C132" s="25"/>
      <c r="D132" s="22" t="s">
        <v>137</v>
      </c>
      <c r="E132" s="18">
        <v>1</v>
      </c>
    </row>
    <row r="133" spans="2:5" x14ac:dyDescent="0.25">
      <c r="B133" s="25" t="s">
        <v>93</v>
      </c>
      <c r="C133" s="25" t="s">
        <v>18</v>
      </c>
      <c r="D133" s="22" t="s">
        <v>130</v>
      </c>
      <c r="E133" s="18">
        <v>3</v>
      </c>
    </row>
    <row r="134" spans="2:5" x14ac:dyDescent="0.25">
      <c r="B134" s="25"/>
      <c r="C134" s="25"/>
      <c r="D134" s="22" t="s">
        <v>131</v>
      </c>
      <c r="E134" s="18">
        <v>3</v>
      </c>
    </row>
    <row r="135" spans="2:5" x14ac:dyDescent="0.25">
      <c r="B135" s="25"/>
      <c r="C135" s="25"/>
      <c r="D135" s="22" t="s">
        <v>132</v>
      </c>
      <c r="E135" s="18">
        <v>3</v>
      </c>
    </row>
    <row r="136" spans="2:5" x14ac:dyDescent="0.25">
      <c r="B136" s="25"/>
      <c r="C136" s="25"/>
      <c r="D136" s="22" t="s">
        <v>133</v>
      </c>
      <c r="E136" s="18">
        <v>4</v>
      </c>
    </row>
    <row r="137" spans="2:5" x14ac:dyDescent="0.25">
      <c r="B137" s="25"/>
      <c r="C137" s="25"/>
      <c r="D137" s="22" t="s">
        <v>134</v>
      </c>
      <c r="E137" s="18">
        <v>4</v>
      </c>
    </row>
    <row r="138" spans="2:5" x14ac:dyDescent="0.25">
      <c r="B138" s="25"/>
      <c r="C138" s="25"/>
      <c r="D138" s="22" t="s">
        <v>135</v>
      </c>
      <c r="E138" s="18">
        <v>4</v>
      </c>
    </row>
    <row r="139" spans="2:5" x14ac:dyDescent="0.25">
      <c r="B139" s="25"/>
      <c r="C139" s="25"/>
      <c r="D139" s="22" t="s">
        <v>136</v>
      </c>
      <c r="E139" s="18">
        <v>2</v>
      </c>
    </row>
    <row r="140" spans="2:5" x14ac:dyDescent="0.25">
      <c r="B140" s="25"/>
      <c r="C140" s="25"/>
      <c r="D140" s="22" t="s">
        <v>137</v>
      </c>
      <c r="E140" s="18">
        <v>1</v>
      </c>
    </row>
    <row r="142" spans="2:5" ht="30" x14ac:dyDescent="0.25">
      <c r="B142" s="21" t="s">
        <v>143</v>
      </c>
    </row>
    <row r="144" spans="2:5" x14ac:dyDescent="0.25">
      <c r="B144" s="21" t="s">
        <v>139</v>
      </c>
      <c r="C144" s="21" t="s">
        <v>40</v>
      </c>
      <c r="D144" s="22" t="s">
        <v>140</v>
      </c>
      <c r="E144" s="18" t="s">
        <v>141</v>
      </c>
    </row>
    <row r="145" spans="2:5" x14ac:dyDescent="0.25">
      <c r="B145" s="25" t="s">
        <v>86</v>
      </c>
      <c r="C145" s="25" t="s">
        <v>24</v>
      </c>
      <c r="D145" s="22" t="s">
        <v>130</v>
      </c>
      <c r="E145" s="18">
        <v>2</v>
      </c>
    </row>
    <row r="146" spans="2:5" x14ac:dyDescent="0.25">
      <c r="B146" s="25"/>
      <c r="C146" s="25"/>
      <c r="D146" s="22" t="s">
        <v>131</v>
      </c>
      <c r="E146" s="18">
        <v>2</v>
      </c>
    </row>
    <row r="147" spans="2:5" x14ac:dyDescent="0.25">
      <c r="B147" s="25"/>
      <c r="C147" s="25"/>
      <c r="D147" s="22" t="s">
        <v>132</v>
      </c>
      <c r="E147" s="18">
        <v>2</v>
      </c>
    </row>
    <row r="148" spans="2:5" x14ac:dyDescent="0.25">
      <c r="B148" s="25"/>
      <c r="C148" s="25"/>
      <c r="D148" s="22" t="s">
        <v>133</v>
      </c>
      <c r="E148" s="18">
        <v>3</v>
      </c>
    </row>
    <row r="149" spans="2:5" x14ac:dyDescent="0.25">
      <c r="B149" s="25"/>
      <c r="C149" s="25"/>
      <c r="D149" s="22" t="s">
        <v>134</v>
      </c>
      <c r="E149" s="18">
        <v>3</v>
      </c>
    </row>
    <row r="150" spans="2:5" x14ac:dyDescent="0.25">
      <c r="B150" s="25"/>
      <c r="C150" s="25"/>
      <c r="D150" s="22" t="s">
        <v>135</v>
      </c>
      <c r="E150" s="18">
        <v>3</v>
      </c>
    </row>
    <row r="151" spans="2:5" x14ac:dyDescent="0.25">
      <c r="B151" s="25"/>
      <c r="C151" s="25"/>
      <c r="D151" s="22" t="s">
        <v>136</v>
      </c>
      <c r="E151" s="18">
        <v>1</v>
      </c>
    </row>
    <row r="152" spans="2:5" x14ac:dyDescent="0.25">
      <c r="B152" s="25"/>
      <c r="C152" s="25"/>
      <c r="D152" s="22" t="s">
        <v>137</v>
      </c>
      <c r="E152" s="18">
        <v>1</v>
      </c>
    </row>
    <row r="153" spans="2:5" x14ac:dyDescent="0.25">
      <c r="B153" s="25" t="s">
        <v>111</v>
      </c>
      <c r="C153" s="25" t="s">
        <v>13</v>
      </c>
      <c r="D153" s="22" t="s">
        <v>130</v>
      </c>
      <c r="E153" s="18">
        <v>4</v>
      </c>
    </row>
    <row r="154" spans="2:5" x14ac:dyDescent="0.25">
      <c r="B154" s="25"/>
      <c r="C154" s="25"/>
      <c r="D154" s="22" t="s">
        <v>131</v>
      </c>
      <c r="E154" s="18">
        <v>4</v>
      </c>
    </row>
    <row r="155" spans="2:5" x14ac:dyDescent="0.25">
      <c r="B155" s="25"/>
      <c r="C155" s="25"/>
      <c r="D155" s="22" t="s">
        <v>132</v>
      </c>
      <c r="E155" s="18">
        <v>4</v>
      </c>
    </row>
    <row r="156" spans="2:5" x14ac:dyDescent="0.25">
      <c r="B156" s="25"/>
      <c r="C156" s="25"/>
      <c r="D156" s="22" t="s">
        <v>133</v>
      </c>
      <c r="E156" s="18">
        <v>5</v>
      </c>
    </row>
    <row r="157" spans="2:5" x14ac:dyDescent="0.25">
      <c r="B157" s="25"/>
      <c r="C157" s="25"/>
      <c r="D157" s="22" t="s">
        <v>134</v>
      </c>
      <c r="E157" s="18">
        <v>5</v>
      </c>
    </row>
    <row r="158" spans="2:5" x14ac:dyDescent="0.25">
      <c r="B158" s="25"/>
      <c r="C158" s="25"/>
      <c r="D158" s="22" t="s">
        <v>135</v>
      </c>
      <c r="E158" s="18">
        <v>5</v>
      </c>
    </row>
    <row r="159" spans="2:5" x14ac:dyDescent="0.25">
      <c r="B159" s="25"/>
      <c r="C159" s="25"/>
      <c r="D159" s="22" t="s">
        <v>136</v>
      </c>
      <c r="E159" s="18">
        <v>3</v>
      </c>
    </row>
    <row r="160" spans="2:5" x14ac:dyDescent="0.25">
      <c r="B160" s="25"/>
      <c r="C160" s="25"/>
      <c r="D160" s="22" t="s">
        <v>137</v>
      </c>
      <c r="E160" s="18">
        <v>1</v>
      </c>
    </row>
    <row r="161" spans="2:5" x14ac:dyDescent="0.25">
      <c r="B161" s="25" t="s">
        <v>84</v>
      </c>
      <c r="C161" s="25" t="s">
        <v>23</v>
      </c>
      <c r="D161" s="22" t="s">
        <v>130</v>
      </c>
      <c r="E161" s="18">
        <v>2</v>
      </c>
    </row>
    <row r="162" spans="2:5" x14ac:dyDescent="0.25">
      <c r="B162" s="25"/>
      <c r="C162" s="25"/>
      <c r="D162" s="22" t="s">
        <v>131</v>
      </c>
      <c r="E162" s="18">
        <v>2</v>
      </c>
    </row>
    <row r="163" spans="2:5" x14ac:dyDescent="0.25">
      <c r="B163" s="25"/>
      <c r="C163" s="25"/>
      <c r="D163" s="22" t="s">
        <v>132</v>
      </c>
      <c r="E163" s="18">
        <v>2</v>
      </c>
    </row>
    <row r="164" spans="2:5" x14ac:dyDescent="0.25">
      <c r="B164" s="25"/>
      <c r="C164" s="25"/>
      <c r="D164" s="22" t="s">
        <v>133</v>
      </c>
      <c r="E164" s="18">
        <v>3</v>
      </c>
    </row>
    <row r="165" spans="2:5" x14ac:dyDescent="0.25">
      <c r="B165" s="25"/>
      <c r="C165" s="25"/>
      <c r="D165" s="22" t="s">
        <v>134</v>
      </c>
      <c r="E165" s="18">
        <v>3</v>
      </c>
    </row>
    <row r="166" spans="2:5" x14ac:dyDescent="0.25">
      <c r="B166" s="25"/>
      <c r="C166" s="25"/>
      <c r="D166" s="22" t="s">
        <v>135</v>
      </c>
      <c r="E166" s="18">
        <v>3</v>
      </c>
    </row>
    <row r="167" spans="2:5" x14ac:dyDescent="0.25">
      <c r="B167" s="25"/>
      <c r="C167" s="25"/>
      <c r="D167" s="22" t="s">
        <v>136</v>
      </c>
      <c r="E167" s="18">
        <v>1</v>
      </c>
    </row>
    <row r="168" spans="2:5" x14ac:dyDescent="0.25">
      <c r="B168" s="25"/>
      <c r="C168" s="25"/>
      <c r="D168" s="22" t="s">
        <v>137</v>
      </c>
      <c r="E168" s="18">
        <v>1</v>
      </c>
    </row>
    <row r="170" spans="2:5" ht="30" x14ac:dyDescent="0.25">
      <c r="B170" s="21" t="s">
        <v>144</v>
      </c>
    </row>
    <row r="172" spans="2:5" x14ac:dyDescent="0.25">
      <c r="B172" s="21" t="s">
        <v>139</v>
      </c>
      <c r="C172" s="21" t="s">
        <v>40</v>
      </c>
      <c r="D172" s="22" t="s">
        <v>140</v>
      </c>
      <c r="E172" s="18" t="s">
        <v>141</v>
      </c>
    </row>
    <row r="173" spans="2:5" x14ac:dyDescent="0.25">
      <c r="B173" s="25" t="s">
        <v>97</v>
      </c>
      <c r="C173" s="25" t="s">
        <v>17</v>
      </c>
      <c r="D173" s="22" t="s">
        <v>130</v>
      </c>
      <c r="E173" s="18">
        <v>2</v>
      </c>
    </row>
    <row r="174" spans="2:5" x14ac:dyDescent="0.25">
      <c r="B174" s="25"/>
      <c r="C174" s="25"/>
      <c r="D174" s="22" t="s">
        <v>131</v>
      </c>
      <c r="E174" s="18">
        <v>2</v>
      </c>
    </row>
    <row r="175" spans="2:5" x14ac:dyDescent="0.25">
      <c r="B175" s="25"/>
      <c r="C175" s="25"/>
      <c r="D175" s="22" t="s">
        <v>132</v>
      </c>
      <c r="E175" s="18">
        <v>2</v>
      </c>
    </row>
    <row r="176" spans="2:5" x14ac:dyDescent="0.25">
      <c r="B176" s="25"/>
      <c r="C176" s="25"/>
      <c r="D176" s="22" t="s">
        <v>133</v>
      </c>
      <c r="E176" s="18">
        <v>3</v>
      </c>
    </row>
    <row r="177" spans="2:5" x14ac:dyDescent="0.25">
      <c r="B177" s="25"/>
      <c r="C177" s="25"/>
      <c r="D177" s="22" t="s">
        <v>134</v>
      </c>
      <c r="E177" s="18">
        <v>3</v>
      </c>
    </row>
    <row r="178" spans="2:5" x14ac:dyDescent="0.25">
      <c r="B178" s="25"/>
      <c r="C178" s="25"/>
      <c r="D178" s="22" t="s">
        <v>135</v>
      </c>
      <c r="E178" s="18">
        <v>3</v>
      </c>
    </row>
    <row r="179" spans="2:5" x14ac:dyDescent="0.25">
      <c r="B179" s="25"/>
      <c r="C179" s="25"/>
      <c r="D179" s="22" t="s">
        <v>136</v>
      </c>
      <c r="E179" s="18">
        <v>1</v>
      </c>
    </row>
    <row r="180" spans="2:5" x14ac:dyDescent="0.25">
      <c r="B180" s="25"/>
      <c r="C180" s="25"/>
      <c r="D180" s="22" t="s">
        <v>137</v>
      </c>
      <c r="E180" s="18">
        <v>1</v>
      </c>
    </row>
    <row r="181" spans="2:5" x14ac:dyDescent="0.25">
      <c r="B181" s="25" t="s">
        <v>96</v>
      </c>
      <c r="C181" s="25" t="s">
        <v>117</v>
      </c>
      <c r="D181" s="22" t="s">
        <v>130</v>
      </c>
      <c r="E181" s="18">
        <v>2</v>
      </c>
    </row>
    <row r="182" spans="2:5" x14ac:dyDescent="0.25">
      <c r="B182" s="25"/>
      <c r="C182" s="25"/>
      <c r="D182" s="22" t="s">
        <v>131</v>
      </c>
      <c r="E182" s="18">
        <v>2</v>
      </c>
    </row>
    <row r="183" spans="2:5" x14ac:dyDescent="0.25">
      <c r="B183" s="25"/>
      <c r="C183" s="25"/>
      <c r="D183" s="22" t="s">
        <v>132</v>
      </c>
      <c r="E183" s="18">
        <v>2</v>
      </c>
    </row>
    <row r="184" spans="2:5" x14ac:dyDescent="0.25">
      <c r="B184" s="25"/>
      <c r="C184" s="25"/>
      <c r="D184" s="22" t="s">
        <v>133</v>
      </c>
      <c r="E184" s="18">
        <v>3</v>
      </c>
    </row>
    <row r="185" spans="2:5" x14ac:dyDescent="0.25">
      <c r="B185" s="25"/>
      <c r="C185" s="25"/>
      <c r="D185" s="22" t="s">
        <v>134</v>
      </c>
      <c r="E185" s="18">
        <v>3</v>
      </c>
    </row>
    <row r="186" spans="2:5" x14ac:dyDescent="0.25">
      <c r="B186" s="25"/>
      <c r="C186" s="25"/>
      <c r="D186" s="22" t="s">
        <v>135</v>
      </c>
      <c r="E186" s="18">
        <v>3</v>
      </c>
    </row>
    <row r="187" spans="2:5" x14ac:dyDescent="0.25">
      <c r="B187" s="25"/>
      <c r="C187" s="25"/>
      <c r="D187" s="22" t="s">
        <v>136</v>
      </c>
      <c r="E187" s="18">
        <v>1</v>
      </c>
    </row>
    <row r="188" spans="2:5" x14ac:dyDescent="0.25">
      <c r="B188" s="25"/>
      <c r="C188" s="25"/>
      <c r="D188" s="22" t="s">
        <v>137</v>
      </c>
      <c r="E188" s="18">
        <v>1</v>
      </c>
    </row>
    <row r="189" spans="2:5" x14ac:dyDescent="0.25">
      <c r="B189" s="25" t="s">
        <v>85</v>
      </c>
      <c r="C189" s="25" t="s">
        <v>25</v>
      </c>
      <c r="D189" s="22" t="s">
        <v>130</v>
      </c>
      <c r="E189" s="18">
        <v>2</v>
      </c>
    </row>
    <row r="190" spans="2:5" x14ac:dyDescent="0.25">
      <c r="B190" s="25"/>
      <c r="C190" s="25"/>
      <c r="D190" s="22" t="s">
        <v>131</v>
      </c>
      <c r="E190" s="18">
        <v>2</v>
      </c>
    </row>
    <row r="191" spans="2:5" x14ac:dyDescent="0.25">
      <c r="B191" s="25"/>
      <c r="C191" s="25"/>
      <c r="D191" s="22" t="s">
        <v>132</v>
      </c>
      <c r="E191" s="18">
        <v>2</v>
      </c>
    </row>
    <row r="192" spans="2:5" x14ac:dyDescent="0.25">
      <c r="B192" s="25"/>
      <c r="C192" s="25"/>
      <c r="D192" s="22" t="s">
        <v>133</v>
      </c>
      <c r="E192" s="18">
        <v>3</v>
      </c>
    </row>
    <row r="193" spans="2:5" x14ac:dyDescent="0.25">
      <c r="B193" s="25"/>
      <c r="C193" s="25"/>
      <c r="D193" s="22" t="s">
        <v>134</v>
      </c>
      <c r="E193" s="18">
        <v>3</v>
      </c>
    </row>
    <row r="194" spans="2:5" x14ac:dyDescent="0.25">
      <c r="B194" s="25"/>
      <c r="C194" s="25"/>
      <c r="D194" s="22" t="s">
        <v>135</v>
      </c>
      <c r="E194" s="18">
        <v>3</v>
      </c>
    </row>
    <row r="195" spans="2:5" x14ac:dyDescent="0.25">
      <c r="B195" s="25"/>
      <c r="C195" s="25"/>
      <c r="D195" s="22" t="s">
        <v>136</v>
      </c>
      <c r="E195" s="18">
        <v>1</v>
      </c>
    </row>
    <row r="196" spans="2:5" x14ac:dyDescent="0.25">
      <c r="B196" s="25"/>
      <c r="C196" s="25"/>
      <c r="D196" s="22" t="s">
        <v>137</v>
      </c>
      <c r="E196" s="18">
        <v>1</v>
      </c>
    </row>
    <row r="197" spans="2:5" x14ac:dyDescent="0.25">
      <c r="B197" s="25" t="s">
        <v>112</v>
      </c>
      <c r="C197" s="25" t="s">
        <v>26</v>
      </c>
      <c r="D197" s="22" t="s">
        <v>130</v>
      </c>
      <c r="E197" s="18">
        <v>3</v>
      </c>
    </row>
    <row r="198" spans="2:5" x14ac:dyDescent="0.25">
      <c r="B198" s="25"/>
      <c r="C198" s="25"/>
      <c r="D198" s="22" t="s">
        <v>131</v>
      </c>
      <c r="E198" s="18">
        <v>3</v>
      </c>
    </row>
    <row r="199" spans="2:5" x14ac:dyDescent="0.25">
      <c r="B199" s="25"/>
      <c r="C199" s="25"/>
      <c r="D199" s="22" t="s">
        <v>132</v>
      </c>
      <c r="E199" s="18">
        <v>3</v>
      </c>
    </row>
    <row r="200" spans="2:5" x14ac:dyDescent="0.25">
      <c r="B200" s="25"/>
      <c r="C200" s="25"/>
      <c r="D200" s="22" t="s">
        <v>133</v>
      </c>
      <c r="E200" s="18">
        <v>4</v>
      </c>
    </row>
    <row r="201" spans="2:5" x14ac:dyDescent="0.25">
      <c r="B201" s="25"/>
      <c r="C201" s="25"/>
      <c r="D201" s="22" t="s">
        <v>134</v>
      </c>
      <c r="E201" s="18">
        <v>4</v>
      </c>
    </row>
    <row r="202" spans="2:5" x14ac:dyDescent="0.25">
      <c r="B202" s="25"/>
      <c r="C202" s="25"/>
      <c r="D202" s="22" t="s">
        <v>135</v>
      </c>
      <c r="E202" s="18">
        <v>4</v>
      </c>
    </row>
    <row r="203" spans="2:5" x14ac:dyDescent="0.25">
      <c r="B203" s="25"/>
      <c r="C203" s="25"/>
      <c r="D203" s="22" t="s">
        <v>136</v>
      </c>
      <c r="E203" s="18">
        <v>2</v>
      </c>
    </row>
    <row r="204" spans="2:5" x14ac:dyDescent="0.25">
      <c r="B204" s="25"/>
      <c r="C204" s="25"/>
      <c r="D204" s="22" t="s">
        <v>137</v>
      </c>
      <c r="E204" s="18">
        <v>1</v>
      </c>
    </row>
    <row r="205" spans="2:5" x14ac:dyDescent="0.25">
      <c r="B205" s="25" t="s">
        <v>113</v>
      </c>
      <c r="C205" s="25" t="s">
        <v>27</v>
      </c>
      <c r="D205" s="22" t="s">
        <v>130</v>
      </c>
      <c r="E205" s="18">
        <v>2</v>
      </c>
    </row>
    <row r="206" spans="2:5" x14ac:dyDescent="0.25">
      <c r="B206" s="25"/>
      <c r="C206" s="25"/>
      <c r="D206" s="22" t="s">
        <v>131</v>
      </c>
      <c r="E206" s="18">
        <v>2</v>
      </c>
    </row>
    <row r="207" spans="2:5" x14ac:dyDescent="0.25">
      <c r="B207" s="25"/>
      <c r="C207" s="25"/>
      <c r="D207" s="22" t="s">
        <v>132</v>
      </c>
      <c r="E207" s="18">
        <v>2</v>
      </c>
    </row>
    <row r="208" spans="2:5" x14ac:dyDescent="0.25">
      <c r="B208" s="25"/>
      <c r="C208" s="25"/>
      <c r="D208" s="22" t="s">
        <v>133</v>
      </c>
      <c r="E208" s="18">
        <v>3</v>
      </c>
    </row>
    <row r="209" spans="2:5" x14ac:dyDescent="0.25">
      <c r="B209" s="25"/>
      <c r="C209" s="25"/>
      <c r="D209" s="22" t="s">
        <v>134</v>
      </c>
      <c r="E209" s="18">
        <v>3</v>
      </c>
    </row>
    <row r="210" spans="2:5" x14ac:dyDescent="0.25">
      <c r="B210" s="25"/>
      <c r="C210" s="25"/>
      <c r="D210" s="22" t="s">
        <v>135</v>
      </c>
      <c r="E210" s="18">
        <v>3</v>
      </c>
    </row>
    <row r="211" spans="2:5" x14ac:dyDescent="0.25">
      <c r="B211" s="25"/>
      <c r="C211" s="25"/>
      <c r="D211" s="22" t="s">
        <v>136</v>
      </c>
      <c r="E211" s="18">
        <v>1</v>
      </c>
    </row>
    <row r="212" spans="2:5" x14ac:dyDescent="0.25">
      <c r="B212" s="25"/>
      <c r="C212" s="25"/>
      <c r="D212" s="22" t="s">
        <v>137</v>
      </c>
      <c r="E212" s="18">
        <v>1</v>
      </c>
    </row>
    <row r="213" spans="2:5" x14ac:dyDescent="0.25">
      <c r="B213" s="25" t="s">
        <v>109</v>
      </c>
      <c r="C213" s="25" t="s">
        <v>30</v>
      </c>
      <c r="D213" s="22" t="s">
        <v>130</v>
      </c>
      <c r="E213" s="18">
        <v>2</v>
      </c>
    </row>
    <row r="214" spans="2:5" x14ac:dyDescent="0.25">
      <c r="B214" s="25"/>
      <c r="C214" s="25"/>
      <c r="D214" s="22" t="s">
        <v>131</v>
      </c>
      <c r="E214" s="18">
        <v>2</v>
      </c>
    </row>
    <row r="215" spans="2:5" x14ac:dyDescent="0.25">
      <c r="B215" s="25"/>
      <c r="C215" s="25"/>
      <c r="D215" s="22" t="s">
        <v>132</v>
      </c>
      <c r="E215" s="18">
        <v>2</v>
      </c>
    </row>
    <row r="216" spans="2:5" x14ac:dyDescent="0.25">
      <c r="B216" s="25"/>
      <c r="C216" s="25"/>
      <c r="D216" s="22" t="s">
        <v>133</v>
      </c>
      <c r="E216" s="18">
        <v>3</v>
      </c>
    </row>
    <row r="217" spans="2:5" x14ac:dyDescent="0.25">
      <c r="B217" s="25"/>
      <c r="C217" s="25"/>
      <c r="D217" s="22" t="s">
        <v>134</v>
      </c>
      <c r="E217" s="18">
        <v>3</v>
      </c>
    </row>
    <row r="218" spans="2:5" x14ac:dyDescent="0.25">
      <c r="B218" s="25"/>
      <c r="C218" s="25"/>
      <c r="D218" s="22" t="s">
        <v>135</v>
      </c>
      <c r="E218" s="18">
        <v>3</v>
      </c>
    </row>
    <row r="219" spans="2:5" x14ac:dyDescent="0.25">
      <c r="B219" s="25"/>
      <c r="C219" s="25"/>
      <c r="D219" s="22" t="s">
        <v>136</v>
      </c>
      <c r="E219" s="18">
        <v>1</v>
      </c>
    </row>
    <row r="220" spans="2:5" x14ac:dyDescent="0.25">
      <c r="B220" s="25"/>
      <c r="C220" s="25"/>
      <c r="D220" s="22" t="s">
        <v>137</v>
      </c>
      <c r="E220" s="18">
        <v>1</v>
      </c>
    </row>
    <row r="221" spans="2:5" x14ac:dyDescent="0.25">
      <c r="B221" s="25" t="s">
        <v>107</v>
      </c>
      <c r="C221" s="25" t="s">
        <v>123</v>
      </c>
      <c r="D221" s="22" t="s">
        <v>130</v>
      </c>
      <c r="E221" s="18">
        <v>2</v>
      </c>
    </row>
    <row r="222" spans="2:5" x14ac:dyDescent="0.25">
      <c r="B222" s="25"/>
      <c r="C222" s="25"/>
      <c r="D222" s="22" t="s">
        <v>131</v>
      </c>
      <c r="E222" s="18">
        <v>2</v>
      </c>
    </row>
    <row r="223" spans="2:5" x14ac:dyDescent="0.25">
      <c r="B223" s="25"/>
      <c r="C223" s="25"/>
      <c r="D223" s="22" t="s">
        <v>132</v>
      </c>
      <c r="E223" s="18">
        <v>2</v>
      </c>
    </row>
    <row r="224" spans="2:5" x14ac:dyDescent="0.25">
      <c r="B224" s="25"/>
      <c r="C224" s="25"/>
      <c r="D224" s="22" t="s">
        <v>133</v>
      </c>
      <c r="E224" s="18">
        <v>3</v>
      </c>
    </row>
    <row r="225" spans="2:5" x14ac:dyDescent="0.25">
      <c r="B225" s="25"/>
      <c r="C225" s="25"/>
      <c r="D225" s="22" t="s">
        <v>134</v>
      </c>
      <c r="E225" s="18">
        <v>3</v>
      </c>
    </row>
    <row r="226" spans="2:5" x14ac:dyDescent="0.25">
      <c r="B226" s="25"/>
      <c r="C226" s="25"/>
      <c r="D226" s="22" t="s">
        <v>135</v>
      </c>
      <c r="E226" s="18">
        <v>3</v>
      </c>
    </row>
    <row r="227" spans="2:5" x14ac:dyDescent="0.25">
      <c r="B227" s="25"/>
      <c r="C227" s="25"/>
      <c r="D227" s="22" t="s">
        <v>136</v>
      </c>
      <c r="E227" s="18">
        <v>1</v>
      </c>
    </row>
    <row r="228" spans="2:5" x14ac:dyDescent="0.25">
      <c r="B228" s="25"/>
      <c r="C228" s="25"/>
      <c r="D228" s="22" t="s">
        <v>137</v>
      </c>
      <c r="E228" s="18">
        <v>1</v>
      </c>
    </row>
    <row r="230" spans="2:5" ht="30" x14ac:dyDescent="0.25">
      <c r="B230" s="21" t="s">
        <v>145</v>
      </c>
    </row>
    <row r="232" spans="2:5" x14ac:dyDescent="0.25">
      <c r="B232" s="21" t="s">
        <v>139</v>
      </c>
      <c r="C232" s="21" t="s">
        <v>40</v>
      </c>
      <c r="D232" s="22" t="s">
        <v>140</v>
      </c>
      <c r="E232" s="18" t="s">
        <v>141</v>
      </c>
    </row>
    <row r="233" spans="2:5" x14ac:dyDescent="0.25">
      <c r="B233" s="25" t="s">
        <v>105</v>
      </c>
      <c r="C233" s="25" t="s">
        <v>119</v>
      </c>
      <c r="D233" s="22" t="s">
        <v>130</v>
      </c>
      <c r="E233" s="18">
        <v>2</v>
      </c>
    </row>
    <row r="234" spans="2:5" x14ac:dyDescent="0.25">
      <c r="B234" s="25"/>
      <c r="C234" s="25"/>
      <c r="D234" s="22" t="s">
        <v>131</v>
      </c>
      <c r="E234" s="18">
        <v>2</v>
      </c>
    </row>
    <row r="235" spans="2:5" x14ac:dyDescent="0.25">
      <c r="B235" s="25"/>
      <c r="C235" s="25"/>
      <c r="D235" s="22" t="s">
        <v>132</v>
      </c>
      <c r="E235" s="18">
        <v>2</v>
      </c>
    </row>
    <row r="236" spans="2:5" x14ac:dyDescent="0.25">
      <c r="B236" s="25"/>
      <c r="C236" s="25"/>
      <c r="D236" s="22" t="s">
        <v>133</v>
      </c>
      <c r="E236" s="18">
        <v>3</v>
      </c>
    </row>
    <row r="237" spans="2:5" x14ac:dyDescent="0.25">
      <c r="B237" s="25"/>
      <c r="C237" s="25"/>
      <c r="D237" s="22" t="s">
        <v>134</v>
      </c>
      <c r="E237" s="18">
        <v>3</v>
      </c>
    </row>
    <row r="238" spans="2:5" x14ac:dyDescent="0.25">
      <c r="B238" s="25"/>
      <c r="C238" s="25"/>
      <c r="D238" s="22" t="s">
        <v>135</v>
      </c>
      <c r="E238" s="18">
        <v>3</v>
      </c>
    </row>
    <row r="239" spans="2:5" x14ac:dyDescent="0.25">
      <c r="B239" s="25"/>
      <c r="C239" s="25"/>
      <c r="D239" s="22" t="s">
        <v>136</v>
      </c>
      <c r="E239" s="18">
        <v>1</v>
      </c>
    </row>
    <row r="240" spans="2:5" x14ac:dyDescent="0.25">
      <c r="B240" s="25"/>
      <c r="C240" s="25"/>
      <c r="D240" s="22" t="s">
        <v>137</v>
      </c>
      <c r="E240" s="18">
        <v>1</v>
      </c>
    </row>
    <row r="241" spans="2:5" x14ac:dyDescent="0.25">
      <c r="B241" s="25" t="s">
        <v>106</v>
      </c>
      <c r="C241" s="25" t="s">
        <v>120</v>
      </c>
      <c r="D241" s="22" t="s">
        <v>130</v>
      </c>
      <c r="E241" s="18">
        <v>2</v>
      </c>
    </row>
    <row r="242" spans="2:5" x14ac:dyDescent="0.25">
      <c r="B242" s="25"/>
      <c r="C242" s="25"/>
      <c r="D242" s="22" t="s">
        <v>131</v>
      </c>
      <c r="E242" s="18">
        <v>2</v>
      </c>
    </row>
    <row r="243" spans="2:5" x14ac:dyDescent="0.25">
      <c r="B243" s="25"/>
      <c r="C243" s="25"/>
      <c r="D243" s="22" t="s">
        <v>132</v>
      </c>
      <c r="E243" s="18">
        <v>2</v>
      </c>
    </row>
    <row r="244" spans="2:5" x14ac:dyDescent="0.25">
      <c r="B244" s="25"/>
      <c r="C244" s="25"/>
      <c r="D244" s="22" t="s">
        <v>133</v>
      </c>
      <c r="E244" s="18">
        <v>3</v>
      </c>
    </row>
    <row r="245" spans="2:5" x14ac:dyDescent="0.25">
      <c r="B245" s="25"/>
      <c r="C245" s="25"/>
      <c r="D245" s="22" t="s">
        <v>134</v>
      </c>
      <c r="E245" s="18">
        <v>3</v>
      </c>
    </row>
    <row r="246" spans="2:5" x14ac:dyDescent="0.25">
      <c r="B246" s="25"/>
      <c r="C246" s="25"/>
      <c r="D246" s="22" t="s">
        <v>135</v>
      </c>
      <c r="E246" s="18">
        <v>3</v>
      </c>
    </row>
    <row r="247" spans="2:5" x14ac:dyDescent="0.25">
      <c r="B247" s="25"/>
      <c r="C247" s="25"/>
      <c r="D247" s="22" t="s">
        <v>136</v>
      </c>
      <c r="E247" s="18">
        <v>1</v>
      </c>
    </row>
    <row r="248" spans="2:5" x14ac:dyDescent="0.25">
      <c r="B248" s="25"/>
      <c r="C248" s="25"/>
      <c r="D248" s="22" t="s">
        <v>137</v>
      </c>
      <c r="E248" s="18">
        <v>1</v>
      </c>
    </row>
    <row r="249" spans="2:5" x14ac:dyDescent="0.25">
      <c r="B249" s="25" t="s">
        <v>108</v>
      </c>
      <c r="C249" s="25" t="s">
        <v>122</v>
      </c>
      <c r="D249" s="22" t="s">
        <v>130</v>
      </c>
      <c r="E249" s="18">
        <v>2</v>
      </c>
    </row>
    <row r="250" spans="2:5" x14ac:dyDescent="0.25">
      <c r="B250" s="25"/>
      <c r="C250" s="25"/>
      <c r="D250" s="22" t="s">
        <v>131</v>
      </c>
      <c r="E250" s="18">
        <v>2</v>
      </c>
    </row>
    <row r="251" spans="2:5" x14ac:dyDescent="0.25">
      <c r="B251" s="25"/>
      <c r="C251" s="25"/>
      <c r="D251" s="22" t="s">
        <v>132</v>
      </c>
      <c r="E251" s="18">
        <v>2</v>
      </c>
    </row>
    <row r="252" spans="2:5" x14ac:dyDescent="0.25">
      <c r="B252" s="25"/>
      <c r="C252" s="25"/>
      <c r="D252" s="22" t="s">
        <v>133</v>
      </c>
      <c r="E252" s="18">
        <v>3</v>
      </c>
    </row>
    <row r="253" spans="2:5" x14ac:dyDescent="0.25">
      <c r="B253" s="25"/>
      <c r="C253" s="25"/>
      <c r="D253" s="22" t="s">
        <v>134</v>
      </c>
      <c r="E253" s="18">
        <v>3</v>
      </c>
    </row>
    <row r="254" spans="2:5" x14ac:dyDescent="0.25">
      <c r="B254" s="25"/>
      <c r="C254" s="25"/>
      <c r="D254" s="22" t="s">
        <v>135</v>
      </c>
      <c r="E254" s="18">
        <v>3</v>
      </c>
    </row>
    <row r="255" spans="2:5" x14ac:dyDescent="0.25">
      <c r="B255" s="25"/>
      <c r="C255" s="25"/>
      <c r="D255" s="22" t="s">
        <v>136</v>
      </c>
      <c r="E255" s="18">
        <v>1</v>
      </c>
    </row>
    <row r="256" spans="2:5" x14ac:dyDescent="0.25">
      <c r="B256" s="25"/>
      <c r="C256" s="25"/>
      <c r="D256" s="22" t="s">
        <v>137</v>
      </c>
      <c r="E256" s="18">
        <v>1</v>
      </c>
    </row>
    <row r="257" spans="2:5" x14ac:dyDescent="0.25">
      <c r="B257" s="25" t="s">
        <v>109</v>
      </c>
      <c r="C257" s="25" t="s">
        <v>124</v>
      </c>
      <c r="D257" s="22" t="s">
        <v>130</v>
      </c>
      <c r="E257" s="18">
        <v>2</v>
      </c>
    </row>
    <row r="258" spans="2:5" x14ac:dyDescent="0.25">
      <c r="B258" s="25"/>
      <c r="C258" s="25"/>
      <c r="D258" s="22" t="s">
        <v>131</v>
      </c>
      <c r="E258" s="18">
        <v>2</v>
      </c>
    </row>
    <row r="259" spans="2:5" x14ac:dyDescent="0.25">
      <c r="B259" s="25"/>
      <c r="C259" s="25"/>
      <c r="D259" s="22" t="s">
        <v>132</v>
      </c>
      <c r="E259" s="18">
        <v>2</v>
      </c>
    </row>
    <row r="260" spans="2:5" x14ac:dyDescent="0.25">
      <c r="B260" s="25"/>
      <c r="C260" s="25"/>
      <c r="D260" s="22" t="s">
        <v>133</v>
      </c>
      <c r="E260" s="18">
        <v>3</v>
      </c>
    </row>
    <row r="261" spans="2:5" x14ac:dyDescent="0.25">
      <c r="B261" s="25"/>
      <c r="C261" s="25"/>
      <c r="D261" s="22" t="s">
        <v>134</v>
      </c>
      <c r="E261" s="18">
        <v>3</v>
      </c>
    </row>
    <row r="262" spans="2:5" x14ac:dyDescent="0.25">
      <c r="B262" s="25"/>
      <c r="C262" s="25"/>
      <c r="D262" s="22" t="s">
        <v>135</v>
      </c>
      <c r="E262" s="18">
        <v>3</v>
      </c>
    </row>
    <row r="263" spans="2:5" x14ac:dyDescent="0.25">
      <c r="B263" s="25"/>
      <c r="C263" s="25"/>
      <c r="D263" s="22" t="s">
        <v>136</v>
      </c>
      <c r="E263" s="18">
        <v>1</v>
      </c>
    </row>
    <row r="264" spans="2:5" x14ac:dyDescent="0.25">
      <c r="B264" s="25"/>
      <c r="C264" s="25"/>
      <c r="D264" s="22" t="s">
        <v>137</v>
      </c>
      <c r="E264" s="18">
        <v>1</v>
      </c>
    </row>
    <row r="265" spans="2:5" x14ac:dyDescent="0.25">
      <c r="B265" s="25" t="s">
        <v>102</v>
      </c>
      <c r="C265" s="25" t="s">
        <v>28</v>
      </c>
      <c r="D265" s="22" t="s">
        <v>130</v>
      </c>
      <c r="E265" s="18">
        <v>2</v>
      </c>
    </row>
    <row r="266" spans="2:5" x14ac:dyDescent="0.25">
      <c r="B266" s="25"/>
      <c r="C266" s="25"/>
      <c r="D266" s="22" t="s">
        <v>131</v>
      </c>
      <c r="E266" s="18">
        <v>2</v>
      </c>
    </row>
    <row r="267" spans="2:5" x14ac:dyDescent="0.25">
      <c r="B267" s="25"/>
      <c r="C267" s="25"/>
      <c r="D267" s="22" t="s">
        <v>132</v>
      </c>
      <c r="E267" s="18">
        <v>2</v>
      </c>
    </row>
    <row r="268" spans="2:5" x14ac:dyDescent="0.25">
      <c r="B268" s="25"/>
      <c r="C268" s="25"/>
      <c r="D268" s="22" t="s">
        <v>133</v>
      </c>
      <c r="E268" s="18">
        <v>3</v>
      </c>
    </row>
    <row r="269" spans="2:5" x14ac:dyDescent="0.25">
      <c r="B269" s="25"/>
      <c r="C269" s="25"/>
      <c r="D269" s="22" t="s">
        <v>134</v>
      </c>
      <c r="E269" s="18">
        <v>3</v>
      </c>
    </row>
    <row r="270" spans="2:5" x14ac:dyDescent="0.25">
      <c r="B270" s="25"/>
      <c r="C270" s="25"/>
      <c r="D270" s="22" t="s">
        <v>135</v>
      </c>
      <c r="E270" s="18">
        <v>3</v>
      </c>
    </row>
    <row r="271" spans="2:5" x14ac:dyDescent="0.25">
      <c r="B271" s="25"/>
      <c r="C271" s="25"/>
      <c r="D271" s="22" t="s">
        <v>136</v>
      </c>
      <c r="E271" s="18">
        <v>1</v>
      </c>
    </row>
    <row r="272" spans="2:5" x14ac:dyDescent="0.25">
      <c r="B272" s="25"/>
      <c r="C272" s="25"/>
      <c r="D272" s="22" t="s">
        <v>137</v>
      </c>
      <c r="E272" s="18">
        <v>1</v>
      </c>
    </row>
    <row r="273" spans="2:5" x14ac:dyDescent="0.25">
      <c r="B273" s="25" t="s">
        <v>108</v>
      </c>
      <c r="C273" s="25" t="s">
        <v>31</v>
      </c>
      <c r="D273" s="22" t="s">
        <v>130</v>
      </c>
      <c r="E273" s="18">
        <v>2</v>
      </c>
    </row>
    <row r="274" spans="2:5" x14ac:dyDescent="0.25">
      <c r="B274" s="25"/>
      <c r="C274" s="25"/>
      <c r="D274" s="22" t="s">
        <v>131</v>
      </c>
      <c r="E274" s="18">
        <v>2</v>
      </c>
    </row>
    <row r="275" spans="2:5" x14ac:dyDescent="0.25">
      <c r="B275" s="25"/>
      <c r="C275" s="25"/>
      <c r="D275" s="22" t="s">
        <v>132</v>
      </c>
      <c r="E275" s="18">
        <v>2</v>
      </c>
    </row>
    <row r="276" spans="2:5" x14ac:dyDescent="0.25">
      <c r="B276" s="25"/>
      <c r="C276" s="25"/>
      <c r="D276" s="22" t="s">
        <v>133</v>
      </c>
      <c r="E276" s="18">
        <v>3</v>
      </c>
    </row>
    <row r="277" spans="2:5" x14ac:dyDescent="0.25">
      <c r="B277" s="25"/>
      <c r="C277" s="25"/>
      <c r="D277" s="22" t="s">
        <v>134</v>
      </c>
      <c r="E277" s="18">
        <v>3</v>
      </c>
    </row>
    <row r="278" spans="2:5" x14ac:dyDescent="0.25">
      <c r="B278" s="25"/>
      <c r="C278" s="25"/>
      <c r="D278" s="22" t="s">
        <v>135</v>
      </c>
      <c r="E278" s="18">
        <v>3</v>
      </c>
    </row>
    <row r="279" spans="2:5" x14ac:dyDescent="0.25">
      <c r="B279" s="25"/>
      <c r="C279" s="25"/>
      <c r="D279" s="22" t="s">
        <v>136</v>
      </c>
      <c r="E279" s="18">
        <v>1</v>
      </c>
    </row>
    <row r="280" spans="2:5" x14ac:dyDescent="0.25">
      <c r="B280" s="25"/>
      <c r="C280" s="25"/>
      <c r="D280" s="22" t="s">
        <v>137</v>
      </c>
      <c r="E280" s="18">
        <v>1</v>
      </c>
    </row>
    <row r="281" spans="2:5" x14ac:dyDescent="0.25">
      <c r="B281" s="25" t="s">
        <v>110</v>
      </c>
      <c r="C281" s="25" t="s">
        <v>32</v>
      </c>
      <c r="D281" s="22" t="s">
        <v>130</v>
      </c>
      <c r="E281" s="18">
        <v>2</v>
      </c>
    </row>
    <row r="282" spans="2:5" x14ac:dyDescent="0.25">
      <c r="B282" s="25"/>
      <c r="C282" s="25"/>
      <c r="D282" s="22" t="s">
        <v>131</v>
      </c>
      <c r="E282" s="18">
        <v>2</v>
      </c>
    </row>
    <row r="283" spans="2:5" x14ac:dyDescent="0.25">
      <c r="B283" s="25"/>
      <c r="C283" s="25"/>
      <c r="D283" s="22" t="s">
        <v>132</v>
      </c>
      <c r="E283" s="18">
        <v>2</v>
      </c>
    </row>
    <row r="284" spans="2:5" x14ac:dyDescent="0.25">
      <c r="B284" s="25"/>
      <c r="C284" s="25"/>
      <c r="D284" s="22" t="s">
        <v>133</v>
      </c>
      <c r="E284" s="18">
        <v>3</v>
      </c>
    </row>
    <row r="285" spans="2:5" x14ac:dyDescent="0.25">
      <c r="B285" s="25"/>
      <c r="C285" s="25"/>
      <c r="D285" s="22" t="s">
        <v>134</v>
      </c>
      <c r="E285" s="18">
        <v>3</v>
      </c>
    </row>
    <row r="286" spans="2:5" x14ac:dyDescent="0.25">
      <c r="B286" s="25"/>
      <c r="C286" s="25"/>
      <c r="D286" s="22" t="s">
        <v>135</v>
      </c>
      <c r="E286" s="18">
        <v>3</v>
      </c>
    </row>
    <row r="287" spans="2:5" x14ac:dyDescent="0.25">
      <c r="B287" s="25"/>
      <c r="C287" s="25"/>
      <c r="D287" s="22" t="s">
        <v>136</v>
      </c>
      <c r="E287" s="18">
        <v>1</v>
      </c>
    </row>
    <row r="288" spans="2:5" x14ac:dyDescent="0.25">
      <c r="B288" s="25"/>
      <c r="C288" s="25"/>
      <c r="D288" s="22" t="s">
        <v>137</v>
      </c>
      <c r="E288" s="18">
        <v>1</v>
      </c>
    </row>
    <row r="289" spans="2:5" x14ac:dyDescent="0.25">
      <c r="B289" s="25" t="s">
        <v>89</v>
      </c>
      <c r="C289" s="25" t="s">
        <v>34</v>
      </c>
      <c r="D289" s="22" t="s">
        <v>130</v>
      </c>
      <c r="E289" s="18">
        <v>2</v>
      </c>
    </row>
    <row r="290" spans="2:5" x14ac:dyDescent="0.25">
      <c r="B290" s="25"/>
      <c r="C290" s="25"/>
      <c r="D290" s="22" t="s">
        <v>131</v>
      </c>
      <c r="E290" s="18">
        <v>2</v>
      </c>
    </row>
    <row r="291" spans="2:5" x14ac:dyDescent="0.25">
      <c r="B291" s="25"/>
      <c r="C291" s="25"/>
      <c r="D291" s="22" t="s">
        <v>132</v>
      </c>
      <c r="E291" s="18">
        <v>2</v>
      </c>
    </row>
    <row r="292" spans="2:5" x14ac:dyDescent="0.25">
      <c r="B292" s="25"/>
      <c r="C292" s="25"/>
      <c r="D292" s="22" t="s">
        <v>133</v>
      </c>
      <c r="E292" s="18">
        <v>3</v>
      </c>
    </row>
    <row r="293" spans="2:5" x14ac:dyDescent="0.25">
      <c r="B293" s="25"/>
      <c r="C293" s="25"/>
      <c r="D293" s="22" t="s">
        <v>134</v>
      </c>
      <c r="E293" s="18">
        <v>3</v>
      </c>
    </row>
    <row r="294" spans="2:5" x14ac:dyDescent="0.25">
      <c r="B294" s="25"/>
      <c r="C294" s="25"/>
      <c r="D294" s="22" t="s">
        <v>135</v>
      </c>
      <c r="E294" s="18">
        <v>3</v>
      </c>
    </row>
    <row r="295" spans="2:5" x14ac:dyDescent="0.25">
      <c r="B295" s="25"/>
      <c r="C295" s="25"/>
      <c r="D295" s="22" t="s">
        <v>136</v>
      </c>
      <c r="E295" s="18">
        <v>1</v>
      </c>
    </row>
    <row r="296" spans="2:5" x14ac:dyDescent="0.25">
      <c r="B296" s="25"/>
      <c r="C296" s="25"/>
      <c r="D296" s="22" t="s">
        <v>137</v>
      </c>
      <c r="E296" s="18">
        <v>1</v>
      </c>
    </row>
    <row r="297" spans="2:5" x14ac:dyDescent="0.25">
      <c r="B297" s="25" t="s">
        <v>101</v>
      </c>
      <c r="C297" s="25" t="s">
        <v>35</v>
      </c>
      <c r="D297" s="22" t="s">
        <v>130</v>
      </c>
      <c r="E297" s="18">
        <v>2</v>
      </c>
    </row>
    <row r="298" spans="2:5" x14ac:dyDescent="0.25">
      <c r="B298" s="25"/>
      <c r="C298" s="25"/>
      <c r="D298" s="22" t="s">
        <v>131</v>
      </c>
      <c r="E298" s="18">
        <v>2</v>
      </c>
    </row>
    <row r="299" spans="2:5" x14ac:dyDescent="0.25">
      <c r="B299" s="25"/>
      <c r="C299" s="25"/>
      <c r="D299" s="22" t="s">
        <v>132</v>
      </c>
      <c r="E299" s="18">
        <v>2</v>
      </c>
    </row>
    <row r="300" spans="2:5" x14ac:dyDescent="0.25">
      <c r="B300" s="25"/>
      <c r="C300" s="25"/>
      <c r="D300" s="22" t="s">
        <v>133</v>
      </c>
      <c r="E300" s="18">
        <v>3</v>
      </c>
    </row>
    <row r="301" spans="2:5" x14ac:dyDescent="0.25">
      <c r="B301" s="25"/>
      <c r="C301" s="25"/>
      <c r="D301" s="22" t="s">
        <v>134</v>
      </c>
      <c r="E301" s="18">
        <v>3</v>
      </c>
    </row>
    <row r="302" spans="2:5" x14ac:dyDescent="0.25">
      <c r="B302" s="25"/>
      <c r="C302" s="25"/>
      <c r="D302" s="22" t="s">
        <v>135</v>
      </c>
      <c r="E302" s="18">
        <v>3</v>
      </c>
    </row>
    <row r="303" spans="2:5" x14ac:dyDescent="0.25">
      <c r="B303" s="25"/>
      <c r="C303" s="25"/>
      <c r="D303" s="22" t="s">
        <v>136</v>
      </c>
      <c r="E303" s="18">
        <v>1</v>
      </c>
    </row>
    <row r="304" spans="2:5" x14ac:dyDescent="0.25">
      <c r="B304" s="25"/>
      <c r="C304" s="25"/>
      <c r="D304" s="22" t="s">
        <v>137</v>
      </c>
      <c r="E304" s="18">
        <v>1</v>
      </c>
    </row>
    <row r="305" spans="2:5" x14ac:dyDescent="0.25">
      <c r="B305" s="25" t="s">
        <v>92</v>
      </c>
      <c r="C305" s="25" t="s">
        <v>36</v>
      </c>
      <c r="D305" s="22" t="s">
        <v>130</v>
      </c>
      <c r="E305" s="18">
        <v>2</v>
      </c>
    </row>
    <row r="306" spans="2:5" x14ac:dyDescent="0.25">
      <c r="B306" s="25"/>
      <c r="C306" s="25"/>
      <c r="D306" s="22" t="s">
        <v>131</v>
      </c>
      <c r="E306" s="18">
        <v>2</v>
      </c>
    </row>
    <row r="307" spans="2:5" x14ac:dyDescent="0.25">
      <c r="B307" s="25"/>
      <c r="C307" s="25"/>
      <c r="D307" s="22" t="s">
        <v>132</v>
      </c>
      <c r="E307" s="18">
        <v>2</v>
      </c>
    </row>
    <row r="308" spans="2:5" x14ac:dyDescent="0.25">
      <c r="B308" s="25"/>
      <c r="C308" s="25"/>
      <c r="D308" s="22" t="s">
        <v>133</v>
      </c>
      <c r="E308" s="18">
        <v>3</v>
      </c>
    </row>
    <row r="309" spans="2:5" x14ac:dyDescent="0.25">
      <c r="B309" s="25"/>
      <c r="C309" s="25"/>
      <c r="D309" s="22" t="s">
        <v>134</v>
      </c>
      <c r="E309" s="18">
        <v>3</v>
      </c>
    </row>
    <row r="310" spans="2:5" x14ac:dyDescent="0.25">
      <c r="B310" s="25"/>
      <c r="C310" s="25"/>
      <c r="D310" s="22" t="s">
        <v>135</v>
      </c>
      <c r="E310" s="18">
        <v>3</v>
      </c>
    </row>
    <row r="311" spans="2:5" x14ac:dyDescent="0.25">
      <c r="B311" s="25"/>
      <c r="C311" s="25"/>
      <c r="D311" s="22" t="s">
        <v>136</v>
      </c>
      <c r="E311" s="18">
        <v>1</v>
      </c>
    </row>
    <row r="312" spans="2:5" x14ac:dyDescent="0.25">
      <c r="B312" s="25"/>
      <c r="C312" s="25"/>
      <c r="D312" s="22" t="s">
        <v>137</v>
      </c>
      <c r="E312" s="18">
        <v>1</v>
      </c>
    </row>
    <row r="313" spans="2:5" x14ac:dyDescent="0.25">
      <c r="B313" s="25" t="s">
        <v>91</v>
      </c>
      <c r="C313" s="25" t="s">
        <v>37</v>
      </c>
      <c r="D313" s="22" t="s">
        <v>130</v>
      </c>
      <c r="E313" s="18">
        <v>2</v>
      </c>
    </row>
    <row r="314" spans="2:5" x14ac:dyDescent="0.25">
      <c r="B314" s="25"/>
      <c r="C314" s="25"/>
      <c r="D314" s="22" t="s">
        <v>131</v>
      </c>
      <c r="E314" s="18">
        <v>2</v>
      </c>
    </row>
    <row r="315" spans="2:5" x14ac:dyDescent="0.25">
      <c r="B315" s="25"/>
      <c r="C315" s="25"/>
      <c r="D315" s="22" t="s">
        <v>132</v>
      </c>
      <c r="E315" s="18">
        <v>2</v>
      </c>
    </row>
    <row r="316" spans="2:5" x14ac:dyDescent="0.25">
      <c r="B316" s="25"/>
      <c r="C316" s="25"/>
      <c r="D316" s="22" t="s">
        <v>133</v>
      </c>
      <c r="E316" s="18">
        <v>3</v>
      </c>
    </row>
    <row r="317" spans="2:5" x14ac:dyDescent="0.25">
      <c r="B317" s="25"/>
      <c r="C317" s="25"/>
      <c r="D317" s="22" t="s">
        <v>134</v>
      </c>
      <c r="E317" s="18">
        <v>3</v>
      </c>
    </row>
    <row r="318" spans="2:5" x14ac:dyDescent="0.25">
      <c r="B318" s="25"/>
      <c r="C318" s="25"/>
      <c r="D318" s="22" t="s">
        <v>135</v>
      </c>
      <c r="E318" s="18">
        <v>3</v>
      </c>
    </row>
    <row r="319" spans="2:5" x14ac:dyDescent="0.25">
      <c r="B319" s="25"/>
      <c r="C319" s="25"/>
      <c r="D319" s="22" t="s">
        <v>136</v>
      </c>
      <c r="E319" s="18">
        <v>1</v>
      </c>
    </row>
    <row r="320" spans="2:5" x14ac:dyDescent="0.25">
      <c r="B320" s="25"/>
      <c r="C320" s="25"/>
      <c r="D320" s="22" t="s">
        <v>137</v>
      </c>
      <c r="E320" s="18">
        <v>1</v>
      </c>
    </row>
    <row r="321" spans="2:5" x14ac:dyDescent="0.25">
      <c r="B321" s="25" t="s">
        <v>98</v>
      </c>
      <c r="C321" s="25" t="s">
        <v>38</v>
      </c>
      <c r="D321" s="22" t="s">
        <v>130</v>
      </c>
      <c r="E321" s="18">
        <v>2</v>
      </c>
    </row>
    <row r="322" spans="2:5" x14ac:dyDescent="0.25">
      <c r="B322" s="25"/>
      <c r="C322" s="25"/>
      <c r="D322" s="22" t="s">
        <v>131</v>
      </c>
      <c r="E322" s="18">
        <v>2</v>
      </c>
    </row>
    <row r="323" spans="2:5" x14ac:dyDescent="0.25">
      <c r="B323" s="25"/>
      <c r="C323" s="25"/>
      <c r="D323" s="22" t="s">
        <v>132</v>
      </c>
      <c r="E323" s="18">
        <v>2</v>
      </c>
    </row>
    <row r="324" spans="2:5" x14ac:dyDescent="0.25">
      <c r="B324" s="25"/>
      <c r="C324" s="25"/>
      <c r="D324" s="22" t="s">
        <v>133</v>
      </c>
      <c r="E324" s="18">
        <v>3</v>
      </c>
    </row>
    <row r="325" spans="2:5" x14ac:dyDescent="0.25">
      <c r="B325" s="25"/>
      <c r="C325" s="25"/>
      <c r="D325" s="22" t="s">
        <v>134</v>
      </c>
      <c r="E325" s="18">
        <v>3</v>
      </c>
    </row>
    <row r="326" spans="2:5" x14ac:dyDescent="0.25">
      <c r="B326" s="25"/>
      <c r="C326" s="25"/>
      <c r="D326" s="22" t="s">
        <v>135</v>
      </c>
      <c r="E326" s="18">
        <v>3</v>
      </c>
    </row>
    <row r="327" spans="2:5" x14ac:dyDescent="0.25">
      <c r="B327" s="25"/>
      <c r="C327" s="25"/>
      <c r="D327" s="22" t="s">
        <v>136</v>
      </c>
      <c r="E327" s="18">
        <v>1</v>
      </c>
    </row>
    <row r="328" spans="2:5" x14ac:dyDescent="0.25">
      <c r="B328" s="25"/>
      <c r="C328" s="25"/>
      <c r="D328" s="22" t="s">
        <v>137</v>
      </c>
      <c r="E328" s="18">
        <v>1</v>
      </c>
    </row>
    <row r="329" spans="2:5" x14ac:dyDescent="0.25">
      <c r="B329" s="25" t="s">
        <v>116</v>
      </c>
      <c r="C329" s="25" t="s">
        <v>39</v>
      </c>
      <c r="D329" s="22" t="s">
        <v>130</v>
      </c>
      <c r="E329" s="18">
        <v>2</v>
      </c>
    </row>
    <row r="330" spans="2:5" x14ac:dyDescent="0.25">
      <c r="B330" s="25"/>
      <c r="C330" s="25"/>
      <c r="D330" s="22" t="s">
        <v>131</v>
      </c>
      <c r="E330" s="18">
        <v>2</v>
      </c>
    </row>
    <row r="331" spans="2:5" x14ac:dyDescent="0.25">
      <c r="B331" s="25"/>
      <c r="C331" s="25"/>
      <c r="D331" s="22" t="s">
        <v>132</v>
      </c>
      <c r="E331" s="18">
        <v>2</v>
      </c>
    </row>
    <row r="332" spans="2:5" x14ac:dyDescent="0.25">
      <c r="B332" s="25"/>
      <c r="C332" s="25"/>
      <c r="D332" s="22" t="s">
        <v>133</v>
      </c>
      <c r="E332" s="18">
        <v>3</v>
      </c>
    </row>
    <row r="333" spans="2:5" x14ac:dyDescent="0.25">
      <c r="B333" s="25"/>
      <c r="C333" s="25"/>
      <c r="D333" s="22" t="s">
        <v>134</v>
      </c>
      <c r="E333" s="18">
        <v>3</v>
      </c>
    </row>
    <row r="334" spans="2:5" x14ac:dyDescent="0.25">
      <c r="B334" s="25"/>
      <c r="C334" s="25"/>
      <c r="D334" s="22" t="s">
        <v>135</v>
      </c>
      <c r="E334" s="18">
        <v>3</v>
      </c>
    </row>
    <row r="335" spans="2:5" x14ac:dyDescent="0.25">
      <c r="B335" s="25"/>
      <c r="C335" s="25"/>
      <c r="D335" s="22" t="s">
        <v>136</v>
      </c>
      <c r="E335" s="18">
        <v>1</v>
      </c>
    </row>
    <row r="336" spans="2:5" x14ac:dyDescent="0.25">
      <c r="B336" s="25"/>
      <c r="C336" s="25"/>
      <c r="D336" s="22" t="s">
        <v>137</v>
      </c>
      <c r="E336" s="18">
        <v>1</v>
      </c>
    </row>
  </sheetData>
  <mergeCells count="78">
    <mergeCell ref="C5:C12"/>
    <mergeCell ref="C13:C20"/>
    <mergeCell ref="B5:B12"/>
    <mergeCell ref="B13:B20"/>
    <mergeCell ref="B21:B28"/>
    <mergeCell ref="C21:C28"/>
    <mergeCell ref="C33:C40"/>
    <mergeCell ref="B33:B40"/>
    <mergeCell ref="B41:B48"/>
    <mergeCell ref="C41:C48"/>
    <mergeCell ref="B49:B56"/>
    <mergeCell ref="C49:C56"/>
    <mergeCell ref="C57:C64"/>
    <mergeCell ref="B57:B64"/>
    <mergeCell ref="B65:B72"/>
    <mergeCell ref="C65:C72"/>
    <mergeCell ref="C73:C80"/>
    <mergeCell ref="B73:B80"/>
    <mergeCell ref="B85:B92"/>
    <mergeCell ref="C85:C92"/>
    <mergeCell ref="C93:C100"/>
    <mergeCell ref="B93:B100"/>
    <mergeCell ref="B101:B108"/>
    <mergeCell ref="C101:C108"/>
    <mergeCell ref="C109:C116"/>
    <mergeCell ref="C117:C124"/>
    <mergeCell ref="B117:B124"/>
    <mergeCell ref="B109:B116"/>
    <mergeCell ref="B125:B132"/>
    <mergeCell ref="C125:C132"/>
    <mergeCell ref="C133:C140"/>
    <mergeCell ref="B133:B140"/>
    <mergeCell ref="B145:B152"/>
    <mergeCell ref="C145:C152"/>
    <mergeCell ref="C153:C160"/>
    <mergeCell ref="B153:B160"/>
    <mergeCell ref="B161:B168"/>
    <mergeCell ref="C161:C168"/>
    <mergeCell ref="C173:C180"/>
    <mergeCell ref="B173:B180"/>
    <mergeCell ref="B181:B188"/>
    <mergeCell ref="C181:C188"/>
    <mergeCell ref="B189:B196"/>
    <mergeCell ref="C189:C196"/>
    <mergeCell ref="B197:B204"/>
    <mergeCell ref="C197:C204"/>
    <mergeCell ref="B205:B212"/>
    <mergeCell ref="C205:C212"/>
    <mergeCell ref="B213:B220"/>
    <mergeCell ref="C213:C220"/>
    <mergeCell ref="C221:C228"/>
    <mergeCell ref="B221:B228"/>
    <mergeCell ref="B233:B240"/>
    <mergeCell ref="C233:C240"/>
    <mergeCell ref="C241:C248"/>
    <mergeCell ref="B241:B248"/>
    <mergeCell ref="B249:B256"/>
    <mergeCell ref="C249:C256"/>
    <mergeCell ref="C257:C264"/>
    <mergeCell ref="B257:B264"/>
    <mergeCell ref="C329:C336"/>
    <mergeCell ref="B329:B336"/>
    <mergeCell ref="B321:B328"/>
    <mergeCell ref="C321:C328"/>
    <mergeCell ref="C313:C320"/>
    <mergeCell ref="B313:B320"/>
    <mergeCell ref="C305:C312"/>
    <mergeCell ref="B305:B312"/>
    <mergeCell ref="C297:C304"/>
    <mergeCell ref="B297:B304"/>
    <mergeCell ref="C289:C296"/>
    <mergeCell ref="B289:B296"/>
    <mergeCell ref="C281:C288"/>
    <mergeCell ref="B281:B288"/>
    <mergeCell ref="C265:C272"/>
    <mergeCell ref="B265:B272"/>
    <mergeCell ref="B273:B280"/>
    <mergeCell ref="C273:C28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 Backlog</vt:lpstr>
      <vt:lpstr>Sprint 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laghouanemsofien</dc:creator>
  <cp:lastModifiedBy>laghouanemsofien</cp:lastModifiedBy>
  <dcterms:created xsi:type="dcterms:W3CDTF">2025-02-11T10:59:38Z</dcterms:created>
  <dcterms:modified xsi:type="dcterms:W3CDTF">2025-02-13T13:49:27Z</dcterms:modified>
</cp:coreProperties>
</file>